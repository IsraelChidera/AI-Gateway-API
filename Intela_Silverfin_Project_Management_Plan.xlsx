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er" sheetId="1" state="visible" r:id="rId3"/>
    <sheet name="Project Plan" sheetId="2" state="visible" r:id="rId4"/>
    <sheet name="Timeline" sheetId="3" state="visible" r:id="rId5"/>
    <sheet name="Milestones" sheetId="4" state="visible" r:id="rId6"/>
    <sheet name="Risks" sheetId="5" state="visible" r:id="rId7"/>
    <sheet name="Dependencies" sheetId="6" state="visible" r:id="rId8"/>
    <sheet name="Country Rollout" sheetId="7" state="visible" r:id="rId9"/>
  </sheets>
  <definedNames>
    <definedName function="false" hidden="false" localSheetId="6" name="_xlnm.Print_Titles" vbProcedure="false">'Country Rollout'!$6:$6</definedName>
    <definedName function="false" hidden="false" localSheetId="5" name="_xlnm.Print_Titles" vbProcedure="false">Dependencies!$6:$6</definedName>
    <definedName function="false" hidden="false" localSheetId="3" name="_xlnm.Print_Titles" vbProcedure="false">Milestones!$6:$6</definedName>
    <definedName function="false" hidden="false" localSheetId="1" name="_xlnm.Print_Titles" vbProcedure="false">'Project Plan'!$6:$6</definedName>
    <definedName function="false" hidden="false" localSheetId="4" name="_xlnm.Print_Titles" vbProcedure="false">Risks!$7:$7</definedName>
    <definedName function="false" hidden="false" localSheetId="2" name="_xlnm.Print_Titles" vbProcedure="false">Timeline!$7:$7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<sst xmlns="http://schemas.openxmlformats.org/spreadsheetml/2006/main" count="1214" uniqueCount="635">
  <si>
    <t xml:space="preserve">INTELA – SILVERFIN INTEGRATION  ·  24-MONTH PROGRAMME MANAGEMENT PLAN</t>
  </si>
  <si>
    <t xml:space="preserve">Deloitte Africa | Tax Technology   ·   South Africa · Nigeria · Ghana · Kenya · Tanzania · Uganda   ·   CONFIDENTIAL — internal planning document</t>
  </si>
  <si>
    <t xml:space="preserve">PROGRAMME CONTROL</t>
  </si>
  <si>
    <t xml:space="preserve">Programme</t>
  </si>
  <si>
    <t xml:space="preserve">Deloitte Africa — Intela–Silverfin Integration Programme</t>
  </si>
  <si>
    <t xml:space="preserve">Sponsor</t>
  </si>
  <si>
    <t xml:space="preserve">Deloitte Africa Tax &amp; Legal Technology Leadership (to confirm)</t>
  </si>
  <si>
    <t xml:space="preserve">Programme Manager</t>
  </si>
  <si>
    <t xml:space="preserve">To be appointed</t>
  </si>
  <si>
    <t xml:space="preserve">Prepared by</t>
  </si>
  <si>
    <t xml:space="preserve">Tochukwu (El Tee) Owunwanne — Tax Technology, Deloitte Nigeria</t>
  </si>
  <si>
    <t xml:space="preserve">PMO contact</t>
  </si>
  <si>
    <t xml:space="preserve">Sharon Norambuena — Senior Manager: Africa Tax &amp; Legal, Intela PMO</t>
  </si>
  <si>
    <t xml:space="preserve">Programme start date</t>
  </si>
  <si>
    <t xml:space="preserve">Programme end date</t>
  </si>
  <si>
    <t xml:space="preserve">Desired deployment date</t>
  </si>
  <si>
    <t xml:space="preserve">As soon as the integration is approved for use — aligned to each country's Intela deployment plan</t>
  </si>
  <si>
    <t xml:space="preserve">Busy season constraint</t>
  </si>
  <si>
    <t xml:space="preserve">Not applicable</t>
  </si>
  <si>
    <t xml:space="preserve">Version / date</t>
  </si>
  <si>
    <t xml:space="preserve">v2.0  ·  September 2026</t>
  </si>
  <si>
    <t xml:space="preserve">◄ The yellow cell above is the only date you edit. Every start date, finish date, month column and milestone date in this workbook is calculated from it.</t>
  </si>
  <si>
    <t xml:space="preserve">PROGRAMME CHARTER</t>
  </si>
  <si>
    <t xml:space="preserve">Background</t>
  </si>
  <si>
    <t xml:space="preserve">Tax practitioners across Deloitte Africa currently move documents, status updates and trial balances between Intela and Silverfin manually, running duplicate workflows with no unified view. This programme establishes a two-way integration so that data captured in Intela flows to Silverfin and back, removing manual effort and creating a single, reliable engagement view.</t>
  </si>
  <si>
    <t xml:space="preserve">Objectives</t>
  </si>
  <si>
    <t xml:space="preserve">1.  Deliver bi-directional trial balance and general ledger synchronisation via the Silverfin SyncAPI.
2.  Synchronise documents, engagement status, comments and to-do items between the two platforms.
3.  Automate event-based workflows and provide end-to-end monitoring and audit.
4.  Roll the solution out across six African countries on a controlled, wave-based schedule.</t>
  </si>
  <si>
    <t xml:space="preserve">Scope — in</t>
  </si>
  <si>
    <t xml:space="preserve">Client and engagement sync · Trial balance and GL sync · Document sync · Status sync · Comments and to-do sync · Workflow automation · Monitoring and audit · Multi-country configuration and rollout across six countries.</t>
  </si>
  <si>
    <t xml:space="preserve">Scope — out</t>
  </si>
  <si>
    <t xml:space="preserve">Changes to core Intela or Silverfin product code · Migration of historical archives beyond an agreed cut-off · New tax-computation logic (delivered separately) · Countries outside the six named markets.</t>
  </si>
  <si>
    <t xml:space="preserve">Delivery approach</t>
  </si>
  <si>
    <t xml:space="preserve">Five stages, applied per region: (1) assessment of tools and build, (2) document sign-off from all stakeholders, (3) architectural build, (4) UAT, (5) deployment. Build runs M1–M19 centrally; UAT and deployment run per region in three waves from M18.</t>
  </si>
  <si>
    <t xml:space="preserve">Success criteria</t>
  </si>
  <si>
    <t xml:space="preserve">Zero manual TB uploads for onboarded engagements · Documents and status reconcile automatically within SLA · A single unified engagement view for practitioners · Successful go-live in all six countries with hypercare exit met.</t>
  </si>
  <si>
    <t xml:space="preserve">Indicative effort</t>
  </si>
  <si>
    <t xml:space="preserve">MVP 12–16 weeks · enterprise build 6–9 months · full multi-country programme up to 24 months. Budget to be confirmed after technical discovery and SyncAPI licensing clarification.</t>
  </si>
  <si>
    <t xml:space="preserve">Governance</t>
  </si>
  <si>
    <t xml:space="preserve">Programme Director / Sponsor · Programme Manager · Solution Architect · Integration Lead · Country SMEs (×6) · Security &amp; Compliance Lead · QA Lead · Change / Training Lead. The steering committee reviews at each phase gate.</t>
  </si>
  <si>
    <t xml:space="preserve">Constraints &amp; assumptions</t>
  </si>
  <si>
    <t xml:space="preserve">Dependent on Silverfin SyncAPI access and the Intela Integration Agent (see the Dependencies tab). Country SMEs available part-time throughout. Data residency and privacy addressed per jurisdiction.</t>
  </si>
  <si>
    <t xml:space="preserve">PROGRAMME STATUS — calculated from the Project Plan, Milestones and Risks tabs</t>
  </si>
  <si>
    <t xml:space="preserve">Tasks in plan</t>
  </si>
  <si>
    <t xml:space="preserve">Completed</t>
  </si>
  <si>
    <t xml:space="preserve">In progress</t>
  </si>
  <si>
    <t xml:space="preserve">Not started</t>
  </si>
  <si>
    <t xml:space="preserve">At risk / on hold</t>
  </si>
  <si>
    <t xml:space="preserve">Milestones met</t>
  </si>
  <si>
    <t xml:space="preserve">High risks open</t>
  </si>
  <si>
    <t xml:space="preserve">Added in this version: a dedicated 'Documentation &amp; sign-off' phase (3.1–3.5) and a separate UAT phase per region (12.1–12.4), so the workbook follows the agreed five-step regional approach. Deployment is now its own phase (13.1–13.7).</t>
  </si>
  <si>
    <t xml:space="preserve">PROJECT MANAGEMENT PLAN  ·  INTELA – SILVERFIN INTEGRATION</t>
  </si>
  <si>
    <t xml:space="preserve">Milestone → phase → sub-scope.  Dates are calculated from the programme start date on the Charter tab.</t>
  </si>
  <si>
    <t xml:space="preserve">RESPONSIBILITY</t>
  </si>
  <si>
    <t xml:space="preserve">Milestone</t>
  </si>
  <si>
    <t xml:space="preserve">Project phase</t>
  </si>
  <si>
    <t xml:space="preserve">WBS</t>
  </si>
  <si>
    <t xml:space="preserve">Sub-scope / task</t>
  </si>
  <si>
    <t xml:space="preserve">Owner (role)</t>
  </si>
  <si>
    <t xml:space="preserve">Dependencies</t>
  </si>
  <si>
    <t xml:space="preserve">Mo.</t>
  </si>
  <si>
    <t xml:space="preserve">Dur.</t>
  </si>
  <si>
    <t xml:space="preserve">Start date</t>
  </si>
  <si>
    <t xml:space="preserve">End date</t>
  </si>
  <si>
    <t xml:space="preserve">Deloitte Tax Technology</t>
  </si>
  <si>
    <t xml:space="preserve">Intela PMO / Product</t>
  </si>
  <si>
    <t xml:space="preserve">Silverfin (vendor)</t>
  </si>
  <si>
    <t xml:space="preserve">Country practice / SMEs</t>
  </si>
  <si>
    <t xml:space="preserve">Status</t>
  </si>
  <si>
    <t xml:space="preserve">Key deliverable / comments</t>
  </si>
  <si>
    <t xml:space="preserve">Phase key (helper — do not delete)</t>
  </si>
  <si>
    <t xml:space="preserve">1. Assessment of tools / build per region</t>
  </si>
  <si>
    <t xml:space="preserve">1. Africa Assessment</t>
  </si>
  <si>
    <t xml:space="preserve">1.1</t>
  </si>
  <si>
    <t xml:space="preserve">Programme mobilisation &amp; governance set-up</t>
  </si>
  <si>
    <t xml:space="preserve">—</t>
  </si>
  <si>
    <t xml:space="preserve">✓</t>
  </si>
  <si>
    <t xml:space="preserve">Governance model &amp; charter</t>
  </si>
  <si>
    <t xml:space="preserve">1.2</t>
  </si>
  <si>
    <t xml:space="preserve">Stakeholder mapping across the six countries</t>
  </si>
  <si>
    <t xml:space="preserve">Business Analyst</t>
  </si>
  <si>
    <t xml:space="preserve">Stakeholder register</t>
  </si>
  <si>
    <t xml:space="preserve">1.3</t>
  </si>
  <si>
    <t xml:space="preserve">Current-state (as-is) process assessment</t>
  </si>
  <si>
    <t xml:space="preserve">As-is process maps</t>
  </si>
  <si>
    <t xml:space="preserve">1.4</t>
  </si>
  <si>
    <t xml:space="preserve">Country tax-compliance requirements catalogue</t>
  </si>
  <si>
    <t xml:space="preserve">Country SMEs</t>
  </si>
  <si>
    <t xml:space="preserve">Requirements catalogue</t>
  </si>
  <si>
    <t xml:space="preserve">1.5</t>
  </si>
  <si>
    <t xml:space="preserve">Silverfin footprint &amp; licensing assessment per region</t>
  </si>
  <si>
    <t xml:space="preserve">Solution Architect</t>
  </si>
  <si>
    <t xml:space="preserve">Footprint &amp; licensing report</t>
  </si>
  <si>
    <t xml:space="preserve">1.6</t>
  </si>
  <si>
    <t xml:space="preserve">Assessment report &amp; prioritisation  (GATE)</t>
  </si>
  <si>
    <t xml:space="preserve">1.4,1.5</t>
  </si>
  <si>
    <t xml:space="preserve">Assessment sign-off</t>
  </si>
  <si>
    <t xml:space="preserve">2. Technical Discovery</t>
  </si>
  <si>
    <t xml:space="preserve">2.1</t>
  </si>
  <si>
    <t xml:space="preserve">Silverfin API capability review</t>
  </si>
  <si>
    <t xml:space="preserve">API capability matrix</t>
  </si>
  <si>
    <t xml:space="preserve">2.2</t>
  </si>
  <si>
    <t xml:space="preserve">SyncAPI access request &amp; validation (TB / GL)</t>
  </si>
  <si>
    <t xml:space="preserve">Integration Lead</t>
  </si>
  <si>
    <t xml:space="preserve">SyncAPI access confirmed</t>
  </si>
  <si>
    <t xml:space="preserve">2.3</t>
  </si>
  <si>
    <t xml:space="preserve">Intela Integration Agent assessment</t>
  </si>
  <si>
    <t xml:space="preserve">Agent assessment note</t>
  </si>
  <si>
    <t xml:space="preserve">2.4</t>
  </si>
  <si>
    <t xml:space="preserve">India CTR reference-architecture review</t>
  </si>
  <si>
    <t xml:space="preserve">Reference-pattern report</t>
  </si>
  <si>
    <t xml:space="preserve">2.5</t>
  </si>
  <si>
    <t xml:space="preserve">TB / Comments / To-Do API validation spike</t>
  </si>
  <si>
    <t xml:space="preserve">Integration Engineer</t>
  </si>
  <si>
    <t xml:space="preserve">Validation findings</t>
  </si>
  <si>
    <t xml:space="preserve">2.6</t>
  </si>
  <si>
    <t xml:space="preserve">Target architecture &amp; security design  (GATE)</t>
  </si>
  <si>
    <t xml:space="preserve">2.2,2.3,2.5</t>
  </si>
  <si>
    <t xml:space="preserve">Architecture baseline</t>
  </si>
  <si>
    <t xml:space="preserve">2. Document sign-off from all stakeholders</t>
  </si>
  <si>
    <t xml:space="preserve">3. Documentation &amp; Sign-off</t>
  </si>
  <si>
    <t xml:space="preserve">3.1</t>
  </si>
  <si>
    <t xml:space="preserve">Business requirements document per region</t>
  </si>
  <si>
    <t xml:space="preserve">1.6,2.6</t>
  </si>
  <si>
    <t xml:space="preserve">BRD per country</t>
  </si>
  <si>
    <t xml:space="preserve">3.2</t>
  </si>
  <si>
    <t xml:space="preserve">Functional &amp; technical specification (solution design)</t>
  </si>
  <si>
    <t xml:space="preserve">FSD / solution design document</t>
  </si>
  <si>
    <t xml:space="preserve">3.3</t>
  </si>
  <si>
    <t xml:space="preserve">Data-privacy &amp; residency assessment pack (POPIA, NDPA, DPAs)</t>
  </si>
  <si>
    <t xml:space="preserve">Security Lead</t>
  </si>
  <si>
    <t xml:space="preserve">DPIA pack per jurisdiction</t>
  </si>
  <si>
    <t xml:space="preserve">3.4</t>
  </si>
  <si>
    <t xml:space="preserve">Integration approval &amp; security review (Intela &amp; Silverfin)</t>
  </si>
  <si>
    <t xml:space="preserve">Vendor integration approval</t>
  </si>
  <si>
    <t xml:space="preserve">3.5</t>
  </si>
  <si>
    <t xml:space="preserve">Stakeholder document sign-off — all six countries  (GATE)</t>
  </si>
  <si>
    <t xml:space="preserve">3.3,3.4</t>
  </si>
  <si>
    <t xml:space="preserve">Signed-off documentation set</t>
  </si>
  <si>
    <t xml:space="preserve">3. Architectural build per region</t>
  </si>
  <si>
    <t xml:space="preserve">4. Foundation Integration Layer</t>
  </si>
  <si>
    <t xml:space="preserve">4.1</t>
  </si>
  <si>
    <t xml:space="preserve">Environment provisioning (dev / test / UAT / prod)</t>
  </si>
  <si>
    <t xml:space="preserve">DevOps Engineer</t>
  </si>
  <si>
    <t xml:space="preserve">Environments live</t>
  </si>
  <si>
    <t xml:space="preserve">4.2</t>
  </si>
  <si>
    <t xml:space="preserve">Integration Agent deployment &amp; configuration</t>
  </si>
  <si>
    <t xml:space="preserve">Agent deployed</t>
  </si>
  <si>
    <t xml:space="preserve">4.3</t>
  </si>
  <si>
    <t xml:space="preserve">Authentication, authorisation &amp; secrets management</t>
  </si>
  <si>
    <t xml:space="preserve">Auth &amp; vault ready</t>
  </si>
  <si>
    <t xml:space="preserve">4.4</t>
  </si>
  <si>
    <t xml:space="preserve">Event bus / messaging framework</t>
  </si>
  <si>
    <t xml:space="preserve">Messaging framework</t>
  </si>
  <si>
    <t xml:space="preserve">4.5</t>
  </si>
  <si>
    <t xml:space="preserve">Core Silverfin connector (companies / periods / users)</t>
  </si>
  <si>
    <t xml:space="preserve">4.3,4.4</t>
  </si>
  <si>
    <t xml:space="preserve">Connector v1</t>
  </si>
  <si>
    <t xml:space="preserve">4.6</t>
  </si>
  <si>
    <t xml:space="preserve">Error handling, retry &amp; logging framework</t>
  </si>
  <si>
    <t xml:space="preserve">Resilience framework</t>
  </si>
  <si>
    <t xml:space="preserve">4.7</t>
  </si>
  <si>
    <t xml:space="preserve">CI/CD pipeline &amp; infrastructure-as-code</t>
  </si>
  <si>
    <t xml:space="preserve">CI/CD pipeline</t>
  </si>
  <si>
    <t xml:space="preserve">4.8</t>
  </si>
  <si>
    <t xml:space="preserve">Foundation layer integration test  (GATE)</t>
  </si>
  <si>
    <t xml:space="preserve">QA Lead</t>
  </si>
  <si>
    <t xml:space="preserve">4.5,4.7</t>
  </si>
  <si>
    <t xml:space="preserve">Foundation layer ready</t>
  </si>
  <si>
    <t xml:space="preserve">5. Client &amp; Engagement Sync</t>
  </si>
  <si>
    <t xml:space="preserve">5.1</t>
  </si>
  <si>
    <t xml:space="preserve">Client / entity data-model mapping</t>
  </si>
  <si>
    <t xml:space="preserve">Data Specialist</t>
  </si>
  <si>
    <t xml:space="preserve">Mapping specification</t>
  </si>
  <si>
    <t xml:space="preserve">5.2</t>
  </si>
  <si>
    <t xml:space="preserve">Client mapping &amp; account-mapping lists</t>
  </si>
  <si>
    <t xml:space="preserve">Mapping lists</t>
  </si>
  <si>
    <t xml:space="preserve">5.3</t>
  </si>
  <si>
    <t xml:space="preserve">User synchronisation</t>
  </si>
  <si>
    <t xml:space="preserve">User sync build</t>
  </si>
  <si>
    <t xml:space="preserve">5.4</t>
  </si>
  <si>
    <t xml:space="preserve">Engagement / period linkage</t>
  </si>
  <si>
    <t xml:space="preserve">Period linkage</t>
  </si>
  <si>
    <t xml:space="preserve">5.5</t>
  </si>
  <si>
    <t xml:space="preserve">Client &amp; engagement sync testing  (GATE)</t>
  </si>
  <si>
    <t xml:space="preserve">5.3,5.4</t>
  </si>
  <si>
    <t xml:space="preserve">Client sync complete</t>
  </si>
  <si>
    <t xml:space="preserve">6. Trial Balance &amp; GL Integration</t>
  </si>
  <si>
    <t xml:space="preserve">6.1</t>
  </si>
  <si>
    <t xml:space="preserve">SyncAPI integration design (TB &amp; GL)</t>
  </si>
  <si>
    <t xml:space="preserve">2.2,4.8</t>
  </si>
  <si>
    <t xml:space="preserve">TB / GL design</t>
  </si>
  <si>
    <t xml:space="preserve">6.2</t>
  </si>
  <si>
    <t xml:space="preserve">TB import mapping &amp; transformation rules</t>
  </si>
  <si>
    <t xml:space="preserve">Transformation rules</t>
  </si>
  <si>
    <t xml:space="preserve">6.3</t>
  </si>
  <si>
    <t xml:space="preserve">General Ledger synchronisation build</t>
  </si>
  <si>
    <t xml:space="preserve">GL sync build</t>
  </si>
  <si>
    <t xml:space="preserve">6.4</t>
  </si>
  <si>
    <t xml:space="preserve">TB push Intela → Silverfin build</t>
  </si>
  <si>
    <t xml:space="preserve">6.2,6.3</t>
  </si>
  <si>
    <t xml:space="preserve">TB sync build</t>
  </si>
  <si>
    <t xml:space="preserve">6.5</t>
  </si>
  <si>
    <t xml:space="preserve">Account-mapping validation &amp; reconciliation</t>
  </si>
  <si>
    <t xml:space="preserve">Reconciliation controls</t>
  </si>
  <si>
    <t xml:space="preserve">6.6</t>
  </si>
  <si>
    <t xml:space="preserve">TB / GL end-to-end testing  (GATE)</t>
  </si>
  <si>
    <t xml:space="preserve">6.4,6.5</t>
  </si>
  <si>
    <t xml:space="preserve">TB / GL validated</t>
  </si>
  <si>
    <t xml:space="preserve">7. Document Synchronisation</t>
  </si>
  <si>
    <t xml:space="preserve">7.1</t>
  </si>
  <si>
    <t xml:space="preserve">Document taxonomy &amp; metadata mapping</t>
  </si>
  <si>
    <t xml:space="preserve">Document taxonomy</t>
  </si>
  <si>
    <t xml:space="preserve">7.2</t>
  </si>
  <si>
    <t xml:space="preserve">Document sync build (documents, schedules, packs)</t>
  </si>
  <si>
    <t xml:space="preserve">Document sync build</t>
  </si>
  <si>
    <t xml:space="preserve">7.3</t>
  </si>
  <si>
    <t xml:space="preserve">Live Export Documents integration</t>
  </si>
  <si>
    <t xml:space="preserve">Live export integrated</t>
  </si>
  <si>
    <t xml:space="preserve">7.4</t>
  </si>
  <si>
    <t xml:space="preserve">Document versioning &amp; retention rules</t>
  </si>
  <si>
    <t xml:space="preserve">Versioning rules</t>
  </si>
  <si>
    <t xml:space="preserve">7.5</t>
  </si>
  <si>
    <t xml:space="preserve">Document sync testing  (GATE)</t>
  </si>
  <si>
    <t xml:space="preserve">7.3,7.4</t>
  </si>
  <si>
    <t xml:space="preserve">Document sync complete</t>
  </si>
  <si>
    <t xml:space="preserve">8. Status Synchronisation</t>
  </si>
  <si>
    <t xml:space="preserve">8.1</t>
  </si>
  <si>
    <t xml:space="preserve">Status model harmonisation</t>
  </si>
  <si>
    <t xml:space="preserve">Status model</t>
  </si>
  <si>
    <t xml:space="preserve">8.2</t>
  </si>
  <si>
    <t xml:space="preserve">Status sync build (bi-directional)</t>
  </si>
  <si>
    <t xml:space="preserve">Status sync build</t>
  </si>
  <si>
    <t xml:space="preserve">8.3</t>
  </si>
  <si>
    <t xml:space="preserve">Webhook / event triggers for status</t>
  </si>
  <si>
    <t xml:space="preserve">Event triggers</t>
  </si>
  <si>
    <t xml:space="preserve">8.4</t>
  </si>
  <si>
    <t xml:space="preserve">Status sync testing  (GATE)</t>
  </si>
  <si>
    <t xml:space="preserve">8.2,8.3</t>
  </si>
  <si>
    <t xml:space="preserve">Status sync complete</t>
  </si>
  <si>
    <t xml:space="preserve">9. Comments &amp; To-Do Sync</t>
  </si>
  <si>
    <t xml:space="preserve">9.1</t>
  </si>
  <si>
    <t xml:space="preserve">Remarks / Comments API validation &amp; mapping</t>
  </si>
  <si>
    <t xml:space="preserve">Remarks mapping</t>
  </si>
  <si>
    <t xml:space="preserve">9.2</t>
  </si>
  <si>
    <t xml:space="preserve">Comments &amp; review-notes sync build</t>
  </si>
  <si>
    <t xml:space="preserve">Comments sync build</t>
  </si>
  <si>
    <t xml:space="preserve">9.3</t>
  </si>
  <si>
    <t xml:space="preserve">To-do / assignments sync build</t>
  </si>
  <si>
    <t xml:space="preserve">To-do sync build</t>
  </si>
  <si>
    <t xml:space="preserve">9.4</t>
  </si>
  <si>
    <t xml:space="preserve">Comments &amp; to-do testing  (GATE)</t>
  </si>
  <si>
    <t xml:space="preserve">9.2,9.3</t>
  </si>
  <si>
    <t xml:space="preserve">Comments &amp; to-do complete</t>
  </si>
  <si>
    <t xml:space="preserve">10. Workflow Automation</t>
  </si>
  <si>
    <t xml:space="preserve">10.1</t>
  </si>
  <si>
    <t xml:space="preserve">Event-based automation-rules design</t>
  </si>
  <si>
    <t xml:space="preserve">Automation rules</t>
  </si>
  <si>
    <t xml:space="preserve">10.2</t>
  </si>
  <si>
    <t xml:space="preserve">Workflow orchestration build</t>
  </si>
  <si>
    <t xml:space="preserve">Orchestration build</t>
  </si>
  <si>
    <t xml:space="preserve">10.3</t>
  </si>
  <si>
    <t xml:space="preserve">Cross-platform workflow triggers</t>
  </si>
  <si>
    <t xml:space="preserve">Cross-platform triggers</t>
  </si>
  <si>
    <t xml:space="preserve">10.4</t>
  </si>
  <si>
    <t xml:space="preserve">Exception &amp; escalation handling</t>
  </si>
  <si>
    <t xml:space="preserve">Exception handling</t>
  </si>
  <si>
    <t xml:space="preserve">10.5</t>
  </si>
  <si>
    <t xml:space="preserve">Workflow automation testing  (GATE)</t>
  </si>
  <si>
    <t xml:space="preserve">10.3,10.4</t>
  </si>
  <si>
    <t xml:space="preserve">Workflow automation complete</t>
  </si>
  <si>
    <t xml:space="preserve">11. Monitoring &amp; Audit</t>
  </si>
  <si>
    <t xml:space="preserve">11.1</t>
  </si>
  <si>
    <t xml:space="preserve">Monitoring &amp; observability dashboards</t>
  </si>
  <si>
    <t xml:space="preserve">Dashboards</t>
  </si>
  <si>
    <t xml:space="preserve">11.2</t>
  </si>
  <si>
    <t xml:space="preserve">Audit trail &amp; compliance logging</t>
  </si>
  <si>
    <t xml:space="preserve">Audit logging</t>
  </si>
  <si>
    <t xml:space="preserve">11.3</t>
  </si>
  <si>
    <t xml:space="preserve">Alerting &amp; SLA reporting</t>
  </si>
  <si>
    <t xml:space="preserve">Alerting &amp; SLA</t>
  </si>
  <si>
    <t xml:space="preserve">11.4</t>
  </si>
  <si>
    <t xml:space="preserve">Data-privacy compliance review per country</t>
  </si>
  <si>
    <t xml:space="preserve">Privacy sign-off</t>
  </si>
  <si>
    <t xml:space="preserve">11.5</t>
  </si>
  <si>
    <t xml:space="preserve">Monitoring &amp; audit acceptance  (GATE)</t>
  </si>
  <si>
    <t xml:space="preserve">11.3,11.4</t>
  </si>
  <si>
    <t xml:space="preserve">Monitoring accepted</t>
  </si>
  <si>
    <t xml:space="preserve">4. UAT per region</t>
  </si>
  <si>
    <t xml:space="preserve">12. UAT per region</t>
  </si>
  <si>
    <t xml:space="preserve">12.1</t>
  </si>
  <si>
    <t xml:space="preserve">UAT strategy, scripts &amp; entry / exit criteria</t>
  </si>
  <si>
    <t xml:space="preserve">UAT pack</t>
  </si>
  <si>
    <t xml:space="preserve">12.2</t>
  </si>
  <si>
    <t xml:space="preserve">UAT — South Africa (Wave 1 pilot)</t>
  </si>
  <si>
    <t xml:space="preserve">Country SME / QA Lead</t>
  </si>
  <si>
    <t xml:space="preserve">12.1,11.5</t>
  </si>
  <si>
    <t xml:space="preserve">SA UAT sign-off</t>
  </si>
  <si>
    <t xml:space="preserve">12.3</t>
  </si>
  <si>
    <t xml:space="preserve">UAT — Nigeria &amp; Kenya (Wave 2)</t>
  </si>
  <si>
    <t xml:space="preserve">13.2</t>
  </si>
  <si>
    <t xml:space="preserve">NG &amp; KE UAT sign-off</t>
  </si>
  <si>
    <t xml:space="preserve">12.4</t>
  </si>
  <si>
    <t xml:space="preserve">UAT — Ghana, Tanzania &amp; Uganda (Wave 3)</t>
  </si>
  <si>
    <t xml:space="preserve">13.4</t>
  </si>
  <si>
    <t xml:space="preserve">GH, TZ &amp; UG UAT sign-off</t>
  </si>
  <si>
    <t xml:space="preserve">5. Deployment per region</t>
  </si>
  <si>
    <t xml:space="preserve">13. Deployment &amp; Rollout</t>
  </si>
  <si>
    <t xml:space="preserve">13.1</t>
  </si>
  <si>
    <t xml:space="preserve">Wave 1 go-live — South Africa</t>
  </si>
  <si>
    <t xml:space="preserve">Country SME / PM</t>
  </si>
  <si>
    <t xml:space="preserve">SA in production</t>
  </si>
  <si>
    <t xml:space="preserve">Wave 1 hypercare &amp; stabilisation</t>
  </si>
  <si>
    <t xml:space="preserve">Wave 1 stabilised</t>
  </si>
  <si>
    <t xml:space="preserve">13.3</t>
  </si>
  <si>
    <t xml:space="preserve">Wave 2 go-live — Nigeria &amp; Kenya</t>
  </si>
  <si>
    <t xml:space="preserve">NG &amp; KE in production</t>
  </si>
  <si>
    <t xml:space="preserve">Wave 2 hypercare</t>
  </si>
  <si>
    <t xml:space="preserve">Wave 2 stabilised</t>
  </si>
  <si>
    <t xml:space="preserve">13.5</t>
  </si>
  <si>
    <t xml:space="preserve">Wave 3 go-live — Ghana, Tanzania &amp; Uganda</t>
  </si>
  <si>
    <t xml:space="preserve">GH, TZ &amp; UG in production</t>
  </si>
  <si>
    <t xml:space="preserve">13.6</t>
  </si>
  <si>
    <t xml:space="preserve">Wave 3 hypercare</t>
  </si>
  <si>
    <t xml:space="preserve">Wave 3 stabilised</t>
  </si>
  <si>
    <t xml:space="preserve">13.7</t>
  </si>
  <si>
    <t xml:space="preserve">Programme close, benefits &amp; handover to run</t>
  </si>
  <si>
    <t xml:space="preserve">Programme closure</t>
  </si>
  <si>
    <t xml:space="preserve">How to use:  update only the Status column as work progresses, and the Mo. / Dur. columns if a task moves. Start and end dates recalculate automatically. GATE tasks are phase exit points — they need steering-committee sign-off before the next phase starts.</t>
  </si>
  <si>
    <t xml:space="preserve">PROGRAMME TIMELINE  ·  24 MONTHS</t>
  </si>
  <si>
    <t xml:space="preserve">Phase bars and milestone markers are generated from the Project Plan and Milestones tabs.</t>
  </si>
  <si>
    <t xml:space="preserve">YEAR 1</t>
  </si>
  <si>
    <t xml:space="preserve">YEAR 2</t>
  </si>
  <si>
    <t xml:space="preserve">Q1</t>
  </si>
  <si>
    <t xml:space="preserve">Q2</t>
  </si>
  <si>
    <t xml:space="preserve">Q3</t>
  </si>
  <si>
    <t xml:space="preserve">Q4</t>
  </si>
  <si>
    <t xml:space="preserve">Phase</t>
  </si>
  <si>
    <t xml:space="preserve">Start</t>
  </si>
  <si>
    <t xml:space="preserve">Finish</t>
  </si>
  <si>
    <t xml:space="preserve">◆  Milestones / gates</t>
  </si>
  <si>
    <t xml:space="preserve">Legend</t>
  </si>
  <si>
    <t xml:space="preserve">Phase active</t>
  </si>
  <si>
    <t xml:space="preserve">◆</t>
  </si>
  <si>
    <t xml:space="preserve">Milestone / gate month</t>
  </si>
  <si>
    <t xml:space="preserve">Current month</t>
  </si>
  <si>
    <t xml:space="preserve">MILESTONES &amp; PHASE GATES</t>
  </si>
  <si>
    <t xml:space="preserve">Target dates are calculated from the programme start date. A gate is a decision point with evidence, not a status update.</t>
  </si>
  <si>
    <t xml:space="preserve">ID</t>
  </si>
  <si>
    <t xml:space="preserve">Month</t>
  </si>
  <si>
    <t xml:space="preserve">Target date</t>
  </si>
  <si>
    <t xml:space="preserve">Owner</t>
  </si>
  <si>
    <t xml:space="preserve">Acceptance criteria / evidence required</t>
  </si>
  <si>
    <t xml:space="preserve">MS-01</t>
  </si>
  <si>
    <t xml:space="preserve">Assessment &amp; prioritisation signed off</t>
  </si>
  <si>
    <t xml:space="preserve">M3</t>
  </si>
  <si>
    <t xml:space="preserve">Prioritised requirements and country scope approved by the steering committee</t>
  </si>
  <si>
    <t xml:space="preserve">MS-02</t>
  </si>
  <si>
    <t xml:space="preserve">Architecture baseline approved</t>
  </si>
  <si>
    <t xml:space="preserve">M4</t>
  </si>
  <si>
    <t xml:space="preserve">Target architecture, security design and SyncAPI approach signed off</t>
  </si>
  <si>
    <t xml:space="preserve">MS-03</t>
  </si>
  <si>
    <t xml:space="preserve">Stakeholder documentation signed off — all six countries</t>
  </si>
  <si>
    <t xml:space="preserve">M6</t>
  </si>
  <si>
    <t xml:space="preserve">BRD, functional specification and privacy pack approved by tax, IT and vendors</t>
  </si>
  <si>
    <t xml:space="preserve">MS-04</t>
  </si>
  <si>
    <t xml:space="preserve">M8</t>
  </si>
  <si>
    <t xml:space="preserve">Agent, authentication, messaging and core connector pass integration test</t>
  </si>
  <si>
    <t xml:space="preserve">MS-05</t>
  </si>
  <si>
    <t xml:space="preserve">Client &amp; engagement sync complete</t>
  </si>
  <si>
    <t xml:space="preserve">M9</t>
  </si>
  <si>
    <t xml:space="preserve">Clients, users, engagements and periods synchronise reliably</t>
  </si>
  <si>
    <t xml:space="preserve">MS-06</t>
  </si>
  <si>
    <t xml:space="preserve">TB / GL synchronisation validated</t>
  </si>
  <si>
    <t xml:space="preserve">M12</t>
  </si>
  <si>
    <t xml:space="preserve">TB and GL sync end-to-end with reconciliation controls passing</t>
  </si>
  <si>
    <t xml:space="preserve">MS-07</t>
  </si>
  <si>
    <t xml:space="preserve">M13</t>
  </si>
  <si>
    <t xml:space="preserve">Documents, schedules and packs synchronise with versioning</t>
  </si>
  <si>
    <t xml:space="preserve">MS-08</t>
  </si>
  <si>
    <t xml:space="preserve">M14</t>
  </si>
  <si>
    <t xml:space="preserve">Bi-directional status updates verified</t>
  </si>
  <si>
    <t xml:space="preserve">MS-09</t>
  </si>
  <si>
    <t xml:space="preserve">Comments &amp; to-do sync complete</t>
  </si>
  <si>
    <t xml:space="preserve">M15</t>
  </si>
  <si>
    <t xml:space="preserve">Comments, review notes, assignments and to-dos synchronise</t>
  </si>
  <si>
    <t xml:space="preserve">MS-10</t>
  </si>
  <si>
    <t xml:space="preserve">M17</t>
  </si>
  <si>
    <t xml:space="preserve">Event-based automation with exception handling verified</t>
  </si>
  <si>
    <t xml:space="preserve">MS-11</t>
  </si>
  <si>
    <t xml:space="preserve">Monitoring &amp; audit accepted</t>
  </si>
  <si>
    <t xml:space="preserve">M19</t>
  </si>
  <si>
    <t xml:space="preserve">Dashboards, audit trail, alerting and privacy review accepted</t>
  </si>
  <si>
    <t xml:space="preserve">MS-12</t>
  </si>
  <si>
    <t xml:space="preserve">SA pilot in production; hypercare exit criteria met</t>
  </si>
  <si>
    <t xml:space="preserve">MS-13</t>
  </si>
  <si>
    <t xml:space="preserve">M21</t>
  </si>
  <si>
    <t xml:space="preserve">NG and KE in production; hypercare exit criteria met</t>
  </si>
  <si>
    <t xml:space="preserve">MS-14</t>
  </si>
  <si>
    <t xml:space="preserve">M23</t>
  </si>
  <si>
    <t xml:space="preserve">GH, TZ and UG in production; hypercare exit criteria met</t>
  </si>
  <si>
    <t xml:space="preserve">MS-15</t>
  </si>
  <si>
    <t xml:space="preserve">Programme closure &amp; handover to run</t>
  </si>
  <si>
    <t xml:space="preserve">M24</t>
  </si>
  <si>
    <t xml:space="preserve">Benefits realised, handover to run complete, programme closed</t>
  </si>
  <si>
    <t xml:space="preserve">RISK REGISTER</t>
  </si>
  <si>
    <t xml:space="preserve">Likelihood × impact, each scored 1–5.  Score 15+ high · 8–14 medium · below 8 low.</t>
  </si>
  <si>
    <t xml:space="preserve">Category</t>
  </si>
  <si>
    <t xml:space="preserve">Risk</t>
  </si>
  <si>
    <t xml:space="preserve">L</t>
  </si>
  <si>
    <t xml:space="preserve">I</t>
  </si>
  <si>
    <t xml:space="preserve">Score</t>
  </si>
  <si>
    <t xml:space="preserve">Rating</t>
  </si>
  <si>
    <t xml:space="preserve">Mitigation / response</t>
  </si>
  <si>
    <t xml:space="preserve">R-01</t>
  </si>
  <si>
    <t xml:space="preserve">Vendor / Access</t>
  </si>
  <si>
    <t xml:space="preserve">SyncAPI access not granted or delayed by Silverfin, blocking TB / GL synchronisation</t>
  </si>
  <si>
    <t xml:space="preserve">Raise a formal access request during discovery; secure a vendor SLA and escalation path; design a fallback TB import</t>
  </si>
  <si>
    <t xml:space="preserve">Open</t>
  </si>
  <si>
    <t xml:space="preserve">R-02</t>
  </si>
  <si>
    <t xml:space="preserve">Technical</t>
  </si>
  <si>
    <t xml:space="preserve">Comments / To-Do (Remarks) APIs unsupported or limited bi-directionally</t>
  </si>
  <si>
    <t xml:space="preserve">Early validation spike in Technical Discovery; agree a one-way fallback design if constrained</t>
  </si>
  <si>
    <t xml:space="preserve">R-03</t>
  </si>
  <si>
    <t xml:space="preserve">Data</t>
  </si>
  <si>
    <t xml:space="preserve">Trial-balance and chart-of-accounts mapping inconsistencies across the six countries</t>
  </si>
  <si>
    <t xml:space="preserve">Account-mapping lists; transformation rules; reconciliation controls; per-country validation</t>
  </si>
  <si>
    <t xml:space="preserve">R-04</t>
  </si>
  <si>
    <t xml:space="preserve">Compliance</t>
  </si>
  <si>
    <t xml:space="preserve">Data residency and privacy differences (POPIA, NDPA, Kenya / TZ / UG / GH DPAs)</t>
  </si>
  <si>
    <t xml:space="preserve">Data Protection Impact Assessment; regional hosting; per-jurisdiction legal review</t>
  </si>
  <si>
    <t xml:space="preserve">R-05</t>
  </si>
  <si>
    <t xml:space="preserve">Scope</t>
  </si>
  <si>
    <t xml:space="preserve">Country-specific statutory and tax requirements expand scope</t>
  </si>
  <si>
    <t xml:space="preserve">Change control; country prioritisation; MVP-first per market</t>
  </si>
  <si>
    <t xml:space="preserve">R-06</t>
  </si>
  <si>
    <t xml:space="preserve">Resource</t>
  </si>
  <si>
    <t xml:space="preserve">Scarcity of Silverfin / Intela integration skills</t>
  </si>
  <si>
    <t xml:space="preserve">Early staffing; vendor enablement; structured knowledge transfer; reuse of the architecture</t>
  </si>
  <si>
    <t xml:space="preserve">R-07</t>
  </si>
  <si>
    <t xml:space="preserve">Dependency</t>
  </si>
  <si>
    <t xml:space="preserve">Intela Integration Agent maturity or feature limitations</t>
  </si>
  <si>
    <t xml:space="preserve">Proof of concept; India CTR reference; vendor engagement on the roadmap</t>
  </si>
  <si>
    <t xml:space="preserve">R-08</t>
  </si>
  <si>
    <t xml:space="preserve">Schedule</t>
  </si>
  <si>
    <t xml:space="preserve">24-month multi-country rollout slips against plan</t>
  </si>
  <si>
    <t xml:space="preserve">Wave-based rollout; critical-path management; phase-gate buffers; hypercare windows</t>
  </si>
  <si>
    <t xml:space="preserve">R-09</t>
  </si>
  <si>
    <t xml:space="preserve">Performance</t>
  </si>
  <si>
    <t xml:space="preserve">API rate limits or performance degradation at scale</t>
  </si>
  <si>
    <t xml:space="preserve">Batching and throttling; caching; load and volume testing before go-live</t>
  </si>
  <si>
    <t xml:space="preserve">R-10</t>
  </si>
  <si>
    <t xml:space="preserve">Change</t>
  </si>
  <si>
    <t xml:space="preserve">Low practitioner adoption across countries</t>
  </si>
  <si>
    <t xml:space="preserve">Change management; training; country champions; phased cut-over</t>
  </si>
  <si>
    <t xml:space="preserve">Change / Training Lead</t>
  </si>
  <si>
    <t xml:space="preserve">R-11</t>
  </si>
  <si>
    <t xml:space="preserve">Security</t>
  </si>
  <si>
    <t xml:space="preserve">Credential and secret sprawl across environments and countries</t>
  </si>
  <si>
    <t xml:space="preserve">Central vault; rotation; least privilege; secrets scanning in CI/CD</t>
  </si>
  <si>
    <t xml:space="preserve">R-12</t>
  </si>
  <si>
    <t xml:space="preserve">Quality</t>
  </si>
  <si>
    <t xml:space="preserve">Bi-directional sync conflicts — source-of-truth ambiguity</t>
  </si>
  <si>
    <t xml:space="preserve">Define the system of record per data domain up front (see open question Q-01)</t>
  </si>
  <si>
    <t xml:space="preserve">R-13</t>
  </si>
  <si>
    <t xml:space="preserve">Vendor</t>
  </si>
  <si>
    <t xml:space="preserve">Silverfin or Intela roadmap changes mid-programme</t>
  </si>
  <si>
    <t xml:space="preserve">Vendor governance; versioned APIs; contract change control</t>
  </si>
  <si>
    <t xml:space="preserve">R-14</t>
  </si>
  <si>
    <t xml:space="preserve">Financial</t>
  </si>
  <si>
    <t xml:space="preserve">Budget overrun on per-country customisation</t>
  </si>
  <si>
    <t xml:space="preserve">Reusable architecture; standardisation; stage-gated funding</t>
  </si>
  <si>
    <t xml:space="preserve">R-15</t>
  </si>
  <si>
    <t xml:space="preserve">Operational</t>
  </si>
  <si>
    <t xml:space="preserve">Silent integration failures without monitoring</t>
  </si>
  <si>
    <t xml:space="preserve">Observability, alerting and audit trail delivered in phase 11</t>
  </si>
  <si>
    <t xml:space="preserve">SCORING GUIDE</t>
  </si>
  <si>
    <t xml:space="preserve">1 – 7</t>
  </si>
  <si>
    <t xml:space="preserve">Low</t>
  </si>
  <si>
    <t xml:space="preserve">Accept and monitor at the fortnightly review.</t>
  </si>
  <si>
    <t xml:space="preserve">8 – 14</t>
  </si>
  <si>
    <t xml:space="preserve">Medium</t>
  </si>
  <si>
    <t xml:space="preserve">Named owner and a dated response; reviewed monthly.</t>
  </si>
  <si>
    <t xml:space="preserve">15 – 25</t>
  </si>
  <si>
    <t xml:space="preserve">High</t>
  </si>
  <si>
    <t xml:space="preserve">Escalate to the sponsor within 48 hours; reviewed at every checkpoint.</t>
  </si>
  <si>
    <t xml:space="preserve">DEPENDENCIES, ASSUMPTIONS &amp; OPEN QUESTIONS</t>
  </si>
  <si>
    <t xml:space="preserve">What the programme relies on but does not control, and what must be resolved during discovery.</t>
  </si>
  <si>
    <t xml:space="preserve">Type</t>
  </si>
  <si>
    <t xml:space="preserve">Description</t>
  </si>
  <si>
    <t xml:space="preserve">Needed by</t>
  </si>
  <si>
    <t xml:space="preserve">D-01</t>
  </si>
  <si>
    <t xml:space="preserve">Silverfin SyncAPI access</t>
  </si>
  <si>
    <t xml:space="preserve">Access to SyncAPI to synchronise trial balance and general ledger — the critical-path dependency</t>
  </si>
  <si>
    <t xml:space="preserve">Phase 6 (by M8)</t>
  </si>
  <si>
    <t xml:space="preserve">D-02</t>
  </si>
  <si>
    <t xml:space="preserve">Intela Integration Agent</t>
  </si>
  <si>
    <t xml:space="preserve">Availability and configuration of the strategic integration mechanism</t>
  </si>
  <si>
    <t xml:space="preserve">Phase 4 (by M4)</t>
  </si>
  <si>
    <t xml:space="preserve">D-03</t>
  </si>
  <si>
    <t xml:space="preserve">Internal</t>
  </si>
  <si>
    <t xml:space="preserve">India CTR reference</t>
  </si>
  <si>
    <t xml:space="preserve">Access to India CTR documentation and team for the reference architecture</t>
  </si>
  <si>
    <t xml:space="preserve">Phase 2 (by M3)</t>
  </si>
  <si>
    <t xml:space="preserve">D-04</t>
  </si>
  <si>
    <t xml:space="preserve">Silverfin API credentials</t>
  </si>
  <si>
    <t xml:space="preserve">API credentials per country / firm environment</t>
  </si>
  <si>
    <t xml:space="preserve">Phase 4 (by M5)</t>
  </si>
  <si>
    <t xml:space="preserve">D-05</t>
  </si>
  <si>
    <t xml:space="preserve">Country SME availability</t>
  </si>
  <si>
    <t xml:space="preserve">Part-time tax SMEs for all six countries throughout the programme</t>
  </si>
  <si>
    <t xml:space="preserve">Phase 1 onward</t>
  </si>
  <si>
    <t xml:space="preserve">Country Leads</t>
  </si>
  <si>
    <t xml:space="preserve">D-06</t>
  </si>
  <si>
    <t xml:space="preserve">Cloud tenancy &amp; environments</t>
  </si>
  <si>
    <t xml:space="preserve">Provisioning of dev / test / UAT / prod meeting data-residency needs</t>
  </si>
  <si>
    <t xml:space="preserve">D-07</t>
  </si>
  <si>
    <t xml:space="preserve">Data-privacy sign-off</t>
  </si>
  <si>
    <t xml:space="preserve">Per-jurisdiction privacy approval (POPIA, NDPA and others)</t>
  </si>
  <si>
    <t xml:space="preserve">Phase 3 &amp; 11</t>
  </si>
  <si>
    <t xml:space="preserve">D-08</t>
  </si>
  <si>
    <t xml:space="preserve">Client CoA &amp; mapping data</t>
  </si>
  <si>
    <t xml:space="preserve">Charts of accounts and mapping source data per client</t>
  </si>
  <si>
    <t xml:space="preserve">Phase 5–6 (by M7)</t>
  </si>
  <si>
    <t xml:space="preserve">D-09</t>
  </si>
  <si>
    <t xml:space="preserve">Silverfin licensing</t>
  </si>
  <si>
    <t xml:space="preserve">Confirmed Silverfin licensing for each country in scope</t>
  </si>
  <si>
    <t xml:space="preserve">Phase 1 (by M3)</t>
  </si>
  <si>
    <t xml:space="preserve">D-10</t>
  </si>
  <si>
    <t xml:space="preserve">Change &amp; training resource</t>
  </si>
  <si>
    <t xml:space="preserve">Change-management and training capacity for rollout</t>
  </si>
  <si>
    <t xml:space="preserve">Rollout (M18+)</t>
  </si>
  <si>
    <t xml:space="preserve">PLANNING ASSUMPTIONS</t>
  </si>
  <si>
    <t xml:space="preserve">Assumption</t>
  </si>
  <si>
    <t xml:space="preserve">Impact if invalid</t>
  </si>
  <si>
    <t xml:space="preserve">A-01</t>
  </si>
  <si>
    <t xml:space="preserve">Silverfin SyncAPI is available under Deloitte licensing and access will be granted</t>
  </si>
  <si>
    <t xml:space="preserve">Blocks TB / GL sync; re-plan phase 6</t>
  </si>
  <si>
    <t xml:space="preserve">To confirm</t>
  </si>
  <si>
    <t xml:space="preserve">A-02</t>
  </si>
  <si>
    <t xml:space="preserve">The Intela Integration Agent is the strategic integration mechanism</t>
  </si>
  <si>
    <t xml:space="preserve">Architecture rework</t>
  </si>
  <si>
    <t xml:space="preserve">A-03</t>
  </si>
  <si>
    <t xml:space="preserve">The India CTR integration is available as a reference pattern</t>
  </si>
  <si>
    <t xml:space="preserve">Slower discovery; more design effort</t>
  </si>
  <si>
    <t xml:space="preserve">A-04</t>
  </si>
  <si>
    <t xml:space="preserve">Cloud tenancy can meet each country's data-residency needs</t>
  </si>
  <si>
    <t xml:space="preserve">Hosting redesign; compliance risk</t>
  </si>
  <si>
    <t xml:space="preserve">A-05</t>
  </si>
  <si>
    <t xml:space="preserve">Country SMEs are available part-time throughout the programme</t>
  </si>
  <si>
    <t xml:space="preserve">Requirements and rollout delays</t>
  </si>
  <si>
    <t xml:space="preserve">A-06</t>
  </si>
  <si>
    <t xml:space="preserve">Bi-directional sync is required and the system of record is confirmed per data domain</t>
  </si>
  <si>
    <t xml:space="preserve">Sync conflicts (see R-12)</t>
  </si>
  <si>
    <t xml:space="preserve">A-07</t>
  </si>
  <si>
    <t xml:space="preserve">Budget and resourcing are approved for a 24-month programme</t>
  </si>
  <si>
    <t xml:space="preserve">Scope or timeline reduction</t>
  </si>
  <si>
    <t xml:space="preserve">OPEN QUESTIONS — to resolve in discovery</t>
  </si>
  <si>
    <t xml:space="preserve">Question</t>
  </si>
  <si>
    <t xml:space="preserve">Why it matters</t>
  </si>
  <si>
    <t xml:space="preserve">Q-01</t>
  </si>
  <si>
    <t xml:space="preserve">Source of truth — which platform is the system of record for each data domain?</t>
  </si>
  <si>
    <t xml:space="preserve">Determines bi-directional sync design and conflict rules</t>
  </si>
  <si>
    <t xml:space="preserve">Q-02</t>
  </si>
  <si>
    <t xml:space="preserve">SyncAPI access — how is it provisioned; what are the timelines, cost and per-country implications?</t>
  </si>
  <si>
    <t xml:space="preserve">Critical-path dependency for TB / GL</t>
  </si>
  <si>
    <t xml:space="preserve">Q-03</t>
  </si>
  <si>
    <t xml:space="preserve">Comments API — are Remarks / Comments and to-do fully supported bi-directionally?</t>
  </si>
  <si>
    <t xml:space="preserve">Confirms phase 9 scope and fallback</t>
  </si>
  <si>
    <t xml:space="preserve">Q-04</t>
  </si>
  <si>
    <t xml:space="preserve">TB import APIs — confirmed endpoints, formats and volume limits?</t>
  </si>
  <si>
    <t xml:space="preserve">Drives TB integration design and performance</t>
  </si>
  <si>
    <t xml:space="preserve">Q-05</t>
  </si>
  <si>
    <t xml:space="preserve">Country-specific requirements — statutory and tax differences affecting mapping?</t>
  </si>
  <si>
    <t xml:space="preserve">Scope, mapping and rollout sequencing</t>
  </si>
  <si>
    <t xml:space="preserve">Q-06</t>
  </si>
  <si>
    <t xml:space="preserve">Rollout priorities — confirm country sequencing and the South Africa pilot?</t>
  </si>
  <si>
    <t xml:space="preserve">Locks the wave plan and schedule</t>
  </si>
  <si>
    <t xml:space="preserve">COUNTRY ASSESSMENT &amp; ROLLOUT WAVES</t>
  </si>
  <si>
    <t xml:space="preserve">Readiness across the six markets and the wave sequencing that follows from it.</t>
  </si>
  <si>
    <t xml:space="preserve">Country</t>
  </si>
  <si>
    <t xml:space="preserve">Practice maturity</t>
  </si>
  <si>
    <t xml:space="preserve">Silverfin adoption</t>
  </si>
  <si>
    <t xml:space="preserve">Data-privacy regime</t>
  </si>
  <si>
    <t xml:space="preserve">Complexity</t>
  </si>
  <si>
    <t xml:space="preserve">Wave</t>
  </si>
  <si>
    <t xml:space="preserve">Priority</t>
  </si>
  <si>
    <t xml:space="preserve">Notes</t>
  </si>
  <si>
    <t xml:space="preserve">South Africa</t>
  </si>
  <si>
    <t xml:space="preserve">POPIA</t>
  </si>
  <si>
    <t xml:space="preserve">Wave 1</t>
  </si>
  <si>
    <t xml:space="preserve">Pilot</t>
  </si>
  <si>
    <t xml:space="preserve">Largest Deloitte Africa tax practice; strongest Silverfin base; closest to the target operating model</t>
  </si>
  <si>
    <t xml:space="preserve">Nigeria</t>
  </si>
  <si>
    <t xml:space="preserve">NDPA / NDPR</t>
  </si>
  <si>
    <t xml:space="preserve">Wave 2</t>
  </si>
  <si>
    <t xml:space="preserve">Strong local team; active Nigeria Tax Act 2025 work; high statutory complexity</t>
  </si>
  <si>
    <t xml:space="preserve">Kenya</t>
  </si>
  <si>
    <t xml:space="preserve">Kenya DPA 2019</t>
  </si>
  <si>
    <t xml:space="preserve">East-Africa hub; regional coordination point</t>
  </si>
  <si>
    <t xml:space="preserve">Ghana</t>
  </si>
  <si>
    <t xml:space="preserve">DPA 2012</t>
  </si>
  <si>
    <t xml:space="preserve">Wave 3</t>
  </si>
  <si>
    <t xml:space="preserve">West-Africa rollout; requires enablement uplift</t>
  </si>
  <si>
    <t xml:space="preserve">Tanzania</t>
  </si>
  <si>
    <t xml:space="preserve">PDPA 2022</t>
  </si>
  <si>
    <t xml:space="preserve">Lower current adoption; standardise on the established pattern</t>
  </si>
  <si>
    <t xml:space="preserve">Uganda</t>
  </si>
  <si>
    <t xml:space="preserve">DPPA 2019</t>
  </si>
  <si>
    <t xml:space="preserve">Lower current adoption; leverage East-Africa learnings</t>
  </si>
  <si>
    <t xml:space="preserve">ROLLOUT WAVES</t>
  </si>
  <si>
    <t xml:space="preserve">Countries</t>
  </si>
  <si>
    <t xml:space="preserve">Months</t>
  </si>
  <si>
    <t xml:space="preserve">Entry criteria</t>
  </si>
  <si>
    <t xml:space="preserve">Exit / go-live criteria</t>
  </si>
  <si>
    <t xml:space="preserve">Wave 0</t>
  </si>
  <si>
    <t xml:space="preserve">Build &amp; pilot preparation (all countries)</t>
  </si>
  <si>
    <t xml:space="preserve">M1–M17</t>
  </si>
  <si>
    <t xml:space="preserve">Foundation layer plus all integration modules (client, TB / GL, documents, status, comments, workflow, monitoring)</t>
  </si>
  <si>
    <t xml:space="preserve">Charter approved; SyncAPI access and architecture baseline confirmed</t>
  </si>
  <si>
    <t xml:space="preserve">All modules pass integration testing; UAT scripts ready</t>
  </si>
  <si>
    <t xml:space="preserve">South Africa (pilot)</t>
  </si>
  <si>
    <t xml:space="preserve">M18–M19</t>
  </si>
  <si>
    <t xml:space="preserve">Full solution pilot in the most mature market</t>
  </si>
  <si>
    <t xml:space="preserve">Wave 0 complete; monitoring and audit accepted; SA environment ready</t>
  </si>
  <si>
    <t xml:space="preserve">SA in production; reconciliation clean; hypercare exit met</t>
  </si>
  <si>
    <t xml:space="preserve">Nigeria, Kenya</t>
  </si>
  <si>
    <t xml:space="preserve">M20–M21</t>
  </si>
  <si>
    <t xml:space="preserve">Country configuration, UAT and go-live for NG and KE</t>
  </si>
  <si>
    <t xml:space="preserve">Wave 1 stabilised; country requirements and mappings confirmed</t>
  </si>
  <si>
    <t xml:space="preserve">NG and KE in production; hypercare exit met</t>
  </si>
  <si>
    <t xml:space="preserve">Ghana, Tanzania, Uganda</t>
  </si>
  <si>
    <t xml:space="preserve">M22–M24</t>
  </si>
  <si>
    <t xml:space="preserve">Country configuration, UAT and go-live for GH, TZ and UG; programme closure</t>
  </si>
  <si>
    <t xml:space="preserve">Wave 2 stabilised; enablement and training complete</t>
  </si>
  <si>
    <t xml:space="preserve">All six countries live; benefits realised; handover to run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</si>
</sst>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0"/>
    <numFmt numFmtId="167" formatCode="dd\ mmm\ yy"/>
    <numFmt numFmtId="168" formatCode="mmm\ 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5"/>
      <color rgb="FF000000"/>
      <name val="Aptos Narrow"/>
      <family val="0"/>
      <charset val="1"/>
    </font>
    <font>
      <sz val="11"/>
      <color rgb="FF000000"/>
      <name val="Aptos Narrow"/>
      <family val="0"/>
      <charset val="1"/>
    </font>
    <font>
      <sz val="10"/>
      <color rgb="FF595959"/>
      <name val="Aptos Narrow"/>
      <family val="0"/>
      <charset val="1"/>
    </font>
    <font>
      <sz val="9"/>
      <color rgb="FF595959"/>
      <name val="Aptos Narrow"/>
      <family val="0"/>
      <charset val="1"/>
    </font>
    <font>
      <b val="true"/>
      <sz val="8"/>
      <color rgb="FF000000"/>
      <name val="Aptos Narrow"/>
      <family val="0"/>
      <charset val="1"/>
    </font>
    <font>
      <sz val="9"/>
      <color rgb="FF000000"/>
      <name val="Aptos Narrow"/>
      <family val="0"/>
      <charset val="1"/>
    </font>
    <font>
      <b val="true"/>
      <sz val="11"/>
      <color rgb="FF000000"/>
      <name val="Aptos Narro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D9D9D9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7E6E6"/>
      </patternFill>
    </fill>
    <fill>
      <patternFill patternType="solid">
        <fgColor rgb="FF9DC3E6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E7E6E6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FFD966"/>
        <bgColor rgb="FFFFC7CE"/>
      </patternFill>
    </fill>
    <fill>
      <patternFill patternType="solid">
        <fgColor rgb="FFFFC7CE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ptos Narrow"/>
        <charset val="1"/>
        <family val="0"/>
        <b val="1"/>
        <color rgb="FF375623"/>
        <sz val="10"/>
      </font>
      <fill>
        <patternFill>
          <bgColor rgb="FFC6E0B4"/>
        </patternFill>
      </fill>
    </dxf>
    <dxf>
      <font>
        <name val="Aptos Narrow"/>
        <charset val="1"/>
        <family val="0"/>
        <b val="1"/>
        <color rgb="FF000000"/>
        <sz val="10"/>
      </font>
      <fill>
        <patternFill>
          <bgColor rgb="FFFFD966"/>
        </patternFill>
      </fill>
    </dxf>
    <dxf>
      <font>
        <name val="Aptos Narrow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ptos Narrow"/>
        <charset val="1"/>
        <family val="0"/>
        <b val="1"/>
        <color rgb="FF000000"/>
        <sz val="10"/>
      </font>
      <fill>
        <patternFill>
          <bgColor rgb="FFDDEBF7"/>
        </patternFill>
      </fill>
    </dxf>
    <dxf>
      <font>
        <name val="Aptos Narrow"/>
        <charset val="1"/>
        <family val="0"/>
        <b val="1"/>
        <color rgb="FF595959"/>
        <sz val="10"/>
      </font>
      <fill>
        <patternFill>
          <bgColor rgb="FFE7E6E6"/>
        </patternFill>
      </fill>
    </dxf>
    <dxf>
      <fill>
        <patternFill>
          <bgColor rgb="FF2E75B6"/>
        </patternFill>
      </fill>
    </dxf>
    <dxf>
      <fill>
        <patternFill>
          <bgColor rgb="FFFFF2CC"/>
        </patternFill>
      </fill>
    </dxf>
    <dxf>
      <fill>
        <patternFill>
          <bgColor rgb="FFFFD966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D966"/>
      <rgbColor rgb="FF9DC3E6"/>
      <rgbColor rgb="FFE7E6E6"/>
      <rgbColor rgb="FFD9D9D9"/>
      <rgbColor rgb="FFFFC7CE"/>
      <rgbColor rgb="FF2E75B6"/>
      <rgbColor rgb="FF33CCCC"/>
      <rgbColor rgb="FF99CC00"/>
      <rgbColor rgb="FFFFC000"/>
      <rgbColor rgb="FFFF9900"/>
      <rgbColor rgb="FFFF6600"/>
      <rgbColor rgb="FF595959"/>
      <rgbColor rgb="FFA9D08E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H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22"/>
    <col collapsed="false" customWidth="true" hidden="false" outlineLevel="0" max="8" min="8" style="0" width="24"/>
    <col collapsed="false" customWidth="true" hidden="false" outlineLevel="0" max="9" min="9" style="0" width="2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8" hidden="false" customHeight="true" outlineLevel="0" collapsed="false">
      <c r="B6" s="4" t="s">
        <v>3</v>
      </c>
      <c r="C6" s="4"/>
      <c r="D6" s="5" t="s">
        <v>4</v>
      </c>
      <c r="E6" s="5"/>
      <c r="F6" s="5"/>
      <c r="G6" s="5"/>
      <c r="H6" s="5"/>
    </row>
    <row r="7" customFormat="false" ht="18" hidden="false" customHeight="true" outlineLevel="0" collapsed="false">
      <c r="B7" s="4" t="s">
        <v>5</v>
      </c>
      <c r="C7" s="4"/>
      <c r="D7" s="5" t="s">
        <v>6</v>
      </c>
      <c r="E7" s="5"/>
      <c r="F7" s="5"/>
      <c r="G7" s="5"/>
      <c r="H7" s="5"/>
    </row>
    <row r="8" customFormat="false" ht="18" hidden="false" customHeight="true" outlineLevel="0" collapsed="false">
      <c r="B8" s="4" t="s">
        <v>7</v>
      </c>
      <c r="C8" s="4"/>
      <c r="D8" s="5" t="s">
        <v>8</v>
      </c>
      <c r="E8" s="5"/>
      <c r="F8" s="5"/>
      <c r="G8" s="5"/>
      <c r="H8" s="5"/>
    </row>
    <row r="9" customFormat="false" ht="18" hidden="false" customHeight="true" outlineLevel="0" collapsed="false">
      <c r="B9" s="4" t="s">
        <v>9</v>
      </c>
      <c r="C9" s="4"/>
      <c r="D9" s="5" t="s">
        <v>10</v>
      </c>
      <c r="E9" s="5"/>
      <c r="F9" s="5"/>
      <c r="G9" s="5"/>
      <c r="H9" s="5"/>
    </row>
    <row r="10" customFormat="false" ht="18" hidden="false" customHeight="true" outlineLevel="0" collapsed="false">
      <c r="B10" s="4" t="s">
        <v>11</v>
      </c>
      <c r="C10" s="4"/>
      <c r="D10" s="5" t="s">
        <v>12</v>
      </c>
      <c r="E10" s="5"/>
      <c r="F10" s="5"/>
      <c r="G10" s="5"/>
      <c r="H10" s="5"/>
    </row>
    <row r="11" customFormat="false" ht="18" hidden="false" customHeight="true" outlineLevel="0" collapsed="false">
      <c r="B11" s="4" t="s">
        <v>13</v>
      </c>
      <c r="C11" s="4"/>
      <c r="D11" s="6" t="n">
        <v>46327</v>
      </c>
      <c r="E11" s="6"/>
      <c r="F11" s="6"/>
      <c r="G11" s="6"/>
      <c r="H11" s="6"/>
    </row>
    <row r="12" customFormat="false" ht="18" hidden="false" customHeight="true" outlineLevel="0" collapsed="false">
      <c r="B12" s="4" t="s">
        <v>14</v>
      </c>
      <c r="C12" s="4"/>
      <c r="D12" s="7" t="n">
        <f aca="false">IF(Charter!$D$11="","",EDATE(Charter!$D$11,24)-1)</f>
        <v>47057</v>
      </c>
      <c r="E12" s="7"/>
      <c r="F12" s="7"/>
      <c r="G12" s="7"/>
      <c r="H12" s="7"/>
    </row>
    <row r="13" customFormat="false" ht="25.5" hidden="false" customHeight="true" outlineLevel="0" collapsed="false">
      <c r="B13" s="4" t="s">
        <v>15</v>
      </c>
      <c r="C13" s="4"/>
      <c r="D13" s="5" t="s">
        <v>16</v>
      </c>
      <c r="E13" s="5"/>
      <c r="F13" s="5"/>
      <c r="G13" s="5"/>
      <c r="H13" s="5"/>
    </row>
    <row r="14" customFormat="false" ht="18" hidden="false" customHeight="true" outlineLevel="0" collapsed="false">
      <c r="B14" s="4" t="s">
        <v>17</v>
      </c>
      <c r="C14" s="4"/>
      <c r="D14" s="5" t="s">
        <v>18</v>
      </c>
      <c r="E14" s="5"/>
      <c r="F14" s="5"/>
      <c r="G14" s="5"/>
      <c r="H14" s="5"/>
    </row>
    <row r="15" customFormat="false" ht="18" hidden="false" customHeight="true" outlineLevel="0" collapsed="false">
      <c r="B15" s="4" t="s">
        <v>19</v>
      </c>
      <c r="C15" s="4"/>
      <c r="D15" s="5" t="s">
        <v>20</v>
      </c>
      <c r="E15" s="5"/>
      <c r="F15" s="5"/>
      <c r="G15" s="5"/>
      <c r="H15" s="5"/>
    </row>
    <row r="16" customFormat="false" ht="15" hidden="false" customHeight="false" outlineLevel="0" collapsed="false">
      <c r="B16" s="8" t="s">
        <v>21</v>
      </c>
      <c r="C16" s="8"/>
      <c r="D16" s="8"/>
      <c r="E16" s="8"/>
      <c r="F16" s="8"/>
      <c r="G16" s="8"/>
      <c r="H16" s="8"/>
    </row>
    <row r="18" customFormat="false" ht="15" hidden="false" customHeight="false" outlineLevel="0" collapsed="false">
      <c r="B18" s="3" t="s">
        <v>22</v>
      </c>
      <c r="C18" s="3"/>
      <c r="D18" s="3"/>
      <c r="E18" s="3"/>
      <c r="F18" s="3"/>
      <c r="G18" s="3"/>
      <c r="H18" s="3"/>
    </row>
    <row r="19" customFormat="false" ht="13.5" hidden="false" customHeight="true" outlineLevel="0" collapsed="false">
      <c r="B19" s="9" t="s">
        <v>23</v>
      </c>
      <c r="C19" s="9"/>
      <c r="D19" s="10" t="s">
        <v>24</v>
      </c>
      <c r="E19" s="10"/>
      <c r="F19" s="10"/>
      <c r="G19" s="10"/>
      <c r="H19" s="10"/>
    </row>
    <row r="20" customFormat="false" ht="13.5" hidden="false" customHeight="true" outlineLevel="0" collapsed="false">
      <c r="B20" s="9"/>
      <c r="C20" s="9"/>
      <c r="D20" s="10"/>
      <c r="E20" s="10"/>
      <c r="F20" s="10"/>
      <c r="G20" s="10"/>
      <c r="H20" s="10"/>
    </row>
    <row r="21" customFormat="false" ht="13.5" hidden="false" customHeight="true" outlineLevel="0" collapsed="false">
      <c r="B21" s="9"/>
      <c r="C21" s="9"/>
      <c r="D21" s="10"/>
      <c r="E21" s="10"/>
      <c r="F21" s="10"/>
      <c r="G21" s="10"/>
      <c r="H21" s="10"/>
    </row>
    <row r="22" customFormat="false" ht="13.5" hidden="false" customHeight="true" outlineLevel="0" collapsed="false">
      <c r="B22" s="9"/>
      <c r="C22" s="9"/>
      <c r="D22" s="10"/>
      <c r="E22" s="10"/>
      <c r="F22" s="10"/>
      <c r="G22" s="10"/>
      <c r="H22" s="10"/>
    </row>
    <row r="23" customFormat="false" ht="13.5" hidden="false" customHeight="true" outlineLevel="0" collapsed="false">
      <c r="B23" s="9" t="s">
        <v>25</v>
      </c>
      <c r="C23" s="9"/>
      <c r="D23" s="10" t="s">
        <v>26</v>
      </c>
      <c r="E23" s="10"/>
      <c r="F23" s="10"/>
      <c r="G23" s="10"/>
      <c r="H23" s="10"/>
    </row>
    <row r="24" customFormat="false" ht="13.5" hidden="false" customHeight="true" outlineLevel="0" collapsed="false">
      <c r="B24" s="9"/>
      <c r="C24" s="9"/>
      <c r="D24" s="10"/>
      <c r="E24" s="10"/>
      <c r="F24" s="10"/>
      <c r="G24" s="10"/>
      <c r="H24" s="10"/>
    </row>
    <row r="25" customFormat="false" ht="13.5" hidden="false" customHeight="true" outlineLevel="0" collapsed="false">
      <c r="B25" s="9"/>
      <c r="C25" s="9"/>
      <c r="D25" s="10"/>
      <c r="E25" s="10"/>
      <c r="F25" s="10"/>
      <c r="G25" s="10"/>
      <c r="H25" s="10"/>
    </row>
    <row r="26" customFormat="false" ht="13.5" hidden="false" customHeight="true" outlineLevel="0" collapsed="false">
      <c r="B26" s="9"/>
      <c r="C26" s="9"/>
      <c r="D26" s="10"/>
      <c r="E26" s="10"/>
      <c r="F26" s="10"/>
      <c r="G26" s="10"/>
      <c r="H26" s="10"/>
    </row>
    <row r="27" customFormat="false" ht="13.5" hidden="false" customHeight="true" outlineLevel="0" collapsed="false">
      <c r="B27" s="9"/>
      <c r="C27" s="9"/>
      <c r="D27" s="10"/>
      <c r="E27" s="10"/>
      <c r="F27" s="10"/>
      <c r="G27" s="10"/>
      <c r="H27" s="10"/>
    </row>
    <row r="28" customFormat="false" ht="13.5" hidden="false" customHeight="true" outlineLevel="0" collapsed="false">
      <c r="B28" s="9" t="s">
        <v>27</v>
      </c>
      <c r="C28" s="9"/>
      <c r="D28" s="10" t="s">
        <v>28</v>
      </c>
      <c r="E28" s="10"/>
      <c r="F28" s="10"/>
      <c r="G28" s="10"/>
      <c r="H28" s="10"/>
    </row>
    <row r="29" customFormat="false" ht="13.5" hidden="false" customHeight="true" outlineLevel="0" collapsed="false">
      <c r="B29" s="9"/>
      <c r="C29" s="9"/>
      <c r="D29" s="10"/>
      <c r="E29" s="10"/>
      <c r="F29" s="10"/>
      <c r="G29" s="10"/>
      <c r="H29" s="10"/>
    </row>
    <row r="30" customFormat="false" ht="13.5" hidden="false" customHeight="true" outlineLevel="0" collapsed="false">
      <c r="B30" s="9"/>
      <c r="C30" s="9"/>
      <c r="D30" s="10"/>
      <c r="E30" s="10"/>
      <c r="F30" s="10"/>
      <c r="G30" s="10"/>
      <c r="H30" s="10"/>
    </row>
    <row r="31" customFormat="false" ht="13.5" hidden="false" customHeight="true" outlineLevel="0" collapsed="false">
      <c r="B31" s="9" t="s">
        <v>29</v>
      </c>
      <c r="C31" s="9"/>
      <c r="D31" s="10" t="s">
        <v>30</v>
      </c>
      <c r="E31" s="10"/>
      <c r="F31" s="10"/>
      <c r="G31" s="10"/>
      <c r="H31" s="10"/>
    </row>
    <row r="32" customFormat="false" ht="13.5" hidden="false" customHeight="true" outlineLevel="0" collapsed="false">
      <c r="B32" s="9"/>
      <c r="C32" s="9"/>
      <c r="D32" s="10"/>
      <c r="E32" s="10"/>
      <c r="F32" s="10"/>
      <c r="G32" s="10"/>
      <c r="H32" s="10"/>
    </row>
    <row r="33" customFormat="false" ht="13.5" hidden="false" customHeight="true" outlineLevel="0" collapsed="false">
      <c r="B33" s="9"/>
      <c r="C33" s="9"/>
      <c r="D33" s="10"/>
      <c r="E33" s="10"/>
      <c r="F33" s="10"/>
      <c r="G33" s="10"/>
      <c r="H33" s="10"/>
    </row>
    <row r="34" customFormat="false" ht="13.5" hidden="false" customHeight="true" outlineLevel="0" collapsed="false">
      <c r="B34" s="9" t="s">
        <v>31</v>
      </c>
      <c r="C34" s="9"/>
      <c r="D34" s="10" t="s">
        <v>32</v>
      </c>
      <c r="E34" s="10"/>
      <c r="F34" s="10"/>
      <c r="G34" s="10"/>
      <c r="H34" s="10"/>
    </row>
    <row r="35" customFormat="false" ht="13.5" hidden="false" customHeight="true" outlineLevel="0" collapsed="false">
      <c r="B35" s="9"/>
      <c r="C35" s="9"/>
      <c r="D35" s="10"/>
      <c r="E35" s="10"/>
      <c r="F35" s="10"/>
      <c r="G35" s="10"/>
      <c r="H35" s="10"/>
    </row>
    <row r="36" customFormat="false" ht="13.5" hidden="false" customHeight="true" outlineLevel="0" collapsed="false">
      <c r="B36" s="9"/>
      <c r="C36" s="9"/>
      <c r="D36" s="10"/>
      <c r="E36" s="10"/>
      <c r="F36" s="10"/>
      <c r="G36" s="10"/>
      <c r="H36" s="10"/>
    </row>
    <row r="37" customFormat="false" ht="13.5" hidden="false" customHeight="true" outlineLevel="0" collapsed="false">
      <c r="B37" s="9" t="s">
        <v>33</v>
      </c>
      <c r="C37" s="9"/>
      <c r="D37" s="10" t="s">
        <v>34</v>
      </c>
      <c r="E37" s="10"/>
      <c r="F37" s="10"/>
      <c r="G37" s="10"/>
      <c r="H37" s="10"/>
    </row>
    <row r="38" customFormat="false" ht="13.5" hidden="false" customHeight="true" outlineLevel="0" collapsed="false">
      <c r="B38" s="9"/>
      <c r="C38" s="9"/>
      <c r="D38" s="10"/>
      <c r="E38" s="10"/>
      <c r="F38" s="10"/>
      <c r="G38" s="10"/>
      <c r="H38" s="10"/>
    </row>
    <row r="39" customFormat="false" ht="13.5" hidden="false" customHeight="true" outlineLevel="0" collapsed="false">
      <c r="B39" s="9"/>
      <c r="C39" s="9"/>
      <c r="D39" s="10"/>
      <c r="E39" s="10"/>
      <c r="F39" s="10"/>
      <c r="G39" s="10"/>
      <c r="H39" s="10"/>
    </row>
    <row r="40" customFormat="false" ht="13.5" hidden="false" customHeight="true" outlineLevel="0" collapsed="false">
      <c r="B40" s="9" t="s">
        <v>35</v>
      </c>
      <c r="C40" s="9"/>
      <c r="D40" s="10" t="s">
        <v>36</v>
      </c>
      <c r="E40" s="10"/>
      <c r="F40" s="10"/>
      <c r="G40" s="10"/>
      <c r="H40" s="10"/>
    </row>
    <row r="41" customFormat="false" ht="13.5" hidden="false" customHeight="true" outlineLevel="0" collapsed="false">
      <c r="B41" s="9"/>
      <c r="C41" s="9"/>
      <c r="D41" s="10"/>
      <c r="E41" s="10"/>
      <c r="F41" s="10"/>
      <c r="G41" s="10"/>
      <c r="H41" s="10"/>
    </row>
    <row r="42" customFormat="false" ht="13.5" hidden="false" customHeight="true" outlineLevel="0" collapsed="false">
      <c r="B42" s="9"/>
      <c r="C42" s="9"/>
      <c r="D42" s="10"/>
      <c r="E42" s="10"/>
      <c r="F42" s="10"/>
      <c r="G42" s="10"/>
      <c r="H42" s="10"/>
    </row>
    <row r="43" customFormat="false" ht="13.5" hidden="false" customHeight="true" outlineLevel="0" collapsed="false">
      <c r="B43" s="9" t="s">
        <v>37</v>
      </c>
      <c r="C43" s="9"/>
      <c r="D43" s="10" t="s">
        <v>38</v>
      </c>
      <c r="E43" s="10"/>
      <c r="F43" s="10"/>
      <c r="G43" s="10"/>
      <c r="H43" s="10"/>
    </row>
    <row r="44" customFormat="false" ht="13.5" hidden="false" customHeight="true" outlineLevel="0" collapsed="false">
      <c r="B44" s="9"/>
      <c r="C44" s="9"/>
      <c r="D44" s="10"/>
      <c r="E44" s="10"/>
      <c r="F44" s="10"/>
      <c r="G44" s="10"/>
      <c r="H44" s="10"/>
    </row>
    <row r="45" customFormat="false" ht="13.5" hidden="false" customHeight="true" outlineLevel="0" collapsed="false">
      <c r="B45" s="9"/>
      <c r="C45" s="9"/>
      <c r="D45" s="10"/>
      <c r="E45" s="10"/>
      <c r="F45" s="10"/>
      <c r="G45" s="10"/>
      <c r="H45" s="10"/>
    </row>
    <row r="46" customFormat="false" ht="13.5" hidden="false" customHeight="true" outlineLevel="0" collapsed="false">
      <c r="B46" s="9" t="s">
        <v>39</v>
      </c>
      <c r="C46" s="9"/>
      <c r="D46" s="10" t="s">
        <v>40</v>
      </c>
      <c r="E46" s="10"/>
      <c r="F46" s="10"/>
      <c r="G46" s="10"/>
      <c r="H46" s="10"/>
    </row>
    <row r="47" customFormat="false" ht="13.5" hidden="false" customHeight="true" outlineLevel="0" collapsed="false">
      <c r="B47" s="9"/>
      <c r="C47" s="9"/>
      <c r="D47" s="10"/>
      <c r="E47" s="10"/>
      <c r="F47" s="10"/>
      <c r="G47" s="10"/>
      <c r="H47" s="10"/>
    </row>
    <row r="48" customFormat="false" ht="13.5" hidden="false" customHeight="true" outlineLevel="0" collapsed="false">
      <c r="B48" s="9"/>
      <c r="C48" s="9"/>
      <c r="D48" s="10"/>
      <c r="E48" s="10"/>
      <c r="F48" s="10"/>
      <c r="G48" s="10"/>
      <c r="H48" s="10"/>
    </row>
    <row r="50" customFormat="false" ht="15" hidden="false" customHeight="false" outlineLevel="0" collapsed="false">
      <c r="B50" s="3" t="s">
        <v>41</v>
      </c>
      <c r="C50" s="3"/>
      <c r="D50" s="3"/>
      <c r="E50" s="3"/>
      <c r="F50" s="3"/>
      <c r="G50" s="3"/>
      <c r="H50" s="3"/>
    </row>
    <row r="51" customFormat="false" ht="25.5" hidden="false" customHeight="true" outlineLevel="0" collapsed="false">
      <c r="B51" s="11" t="s">
        <v>42</v>
      </c>
      <c r="C51" s="11" t="s">
        <v>43</v>
      </c>
      <c r="D51" s="11" t="s">
        <v>44</v>
      </c>
      <c r="E51" s="11" t="s">
        <v>45</v>
      </c>
      <c r="F51" s="11" t="s">
        <v>46</v>
      </c>
      <c r="G51" s="11" t="s">
        <v>47</v>
      </c>
      <c r="H51" s="11" t="s">
        <v>48</v>
      </c>
    </row>
    <row r="52" customFormat="false" ht="27.75" hidden="false" customHeight="true" outlineLevel="0" collapsed="false">
      <c r="B52" s="12" t="n">
        <f aca="false">COUNTA('Project Plan'!$E$7:$E$76)</f>
        <v>70</v>
      </c>
      <c r="C52" s="12" t="n">
        <f aca="false">COUNTIF('Project Plan'!$P$7:$P$76,"Completed")</f>
        <v>0</v>
      </c>
      <c r="D52" s="12" t="n">
        <f aca="false">COUNTIF('Project Plan'!$P$7:$P$76,"In progress")</f>
        <v>0</v>
      </c>
      <c r="E52" s="12" t="n">
        <f aca="false">COUNTIF('Project Plan'!$P$7:$P$76,"Not started")</f>
        <v>70</v>
      </c>
      <c r="F52" s="12" t="n">
        <f aca="false">COUNTIF('Project Plan'!$P$7:$P$76,"At risk")+COUNTIF('Project Plan'!$P$7:$P$76,"On hold")</f>
        <v>0</v>
      </c>
      <c r="G52" s="12" t="n">
        <f aca="false">COUNTIF(Milestones!$H$7:$H$21,"Completed")</f>
        <v>0</v>
      </c>
      <c r="H52" s="12" t="n">
        <f aca="false">COUNTIFS(Risks!$G$8:$G$22,"&gt;=15",Risks!$J$8:$J$22,"&lt;&gt;Closed")</f>
        <v>6</v>
      </c>
    </row>
    <row r="54" customFormat="false" ht="25.5" hidden="false" customHeight="true" outlineLevel="0" collapsed="false">
      <c r="B54" s="13" t="s">
        <v>49</v>
      </c>
      <c r="C54" s="13"/>
      <c r="D54" s="13"/>
      <c r="E54" s="13"/>
      <c r="F54" s="13"/>
      <c r="G54" s="13"/>
      <c r="H54" s="13"/>
    </row>
  </sheetData>
  <mergeCells count="45">
    <mergeCell ref="B2:H2"/>
    <mergeCell ref="B3:H3"/>
    <mergeCell ref="B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H16"/>
    <mergeCell ref="B18:H18"/>
    <mergeCell ref="B19:C22"/>
    <mergeCell ref="D19:H22"/>
    <mergeCell ref="B23:C27"/>
    <mergeCell ref="D23:H27"/>
    <mergeCell ref="B28:C30"/>
    <mergeCell ref="D28:H30"/>
    <mergeCell ref="B31:C33"/>
    <mergeCell ref="D31:H33"/>
    <mergeCell ref="B34:C36"/>
    <mergeCell ref="D34:H36"/>
    <mergeCell ref="B37:C39"/>
    <mergeCell ref="D37:H39"/>
    <mergeCell ref="B40:C42"/>
    <mergeCell ref="D40:H42"/>
    <mergeCell ref="B43:C45"/>
    <mergeCell ref="D43:H45"/>
    <mergeCell ref="B46:C48"/>
    <mergeCell ref="D46:H48"/>
    <mergeCell ref="B50:H50"/>
    <mergeCell ref="B54:H54"/>
  </mergeCell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R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4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9" min="8" style="0" width="5"/>
    <col collapsed="false" customWidth="true" hidden="false" outlineLevel="0" max="11" min="10" style="0" width="11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6" min="15" style="0" width="13"/>
    <col collapsed="false" customWidth="true" hidden="false" outlineLevel="0" max="17" min="17" style="0" width="30"/>
    <col collapsed="false" customWidth="true" hidden="true" outlineLevel="0" max="18" min="18" style="0" width="13"/>
  </cols>
  <sheetData>
    <row r="2" customFormat="false" ht="24" hidden="false" customHeight="true" outlineLevel="0" collapsed="false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B3" s="2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L5" s="14" t="s">
        <v>52</v>
      </c>
      <c r="M5" s="14"/>
      <c r="N5" s="14"/>
      <c r="O5" s="14"/>
    </row>
    <row r="6" customFormat="false" ht="42" hidden="false" customHeight="true" outlineLevel="0" collapsed="false">
      <c r="B6" s="15" t="s">
        <v>53</v>
      </c>
      <c r="C6" s="15" t="s">
        <v>54</v>
      </c>
      <c r="D6" s="15" t="s">
        <v>55</v>
      </c>
      <c r="E6" s="15" t="s">
        <v>56</v>
      </c>
      <c r="F6" s="15" t="s">
        <v>57</v>
      </c>
      <c r="G6" s="15" t="s">
        <v>58</v>
      </c>
      <c r="H6" s="15" t="s">
        <v>59</v>
      </c>
      <c r="I6" s="15" t="s">
        <v>60</v>
      </c>
      <c r="J6" s="15" t="s">
        <v>61</v>
      </c>
      <c r="K6" s="15" t="s">
        <v>62</v>
      </c>
      <c r="L6" s="15" t="s">
        <v>63</v>
      </c>
      <c r="M6" s="15" t="s">
        <v>64</v>
      </c>
      <c r="N6" s="15" t="s">
        <v>65</v>
      </c>
      <c r="O6" s="15" t="s">
        <v>66</v>
      </c>
      <c r="P6" s="15" t="s">
        <v>67</v>
      </c>
      <c r="Q6" s="15" t="s">
        <v>68</v>
      </c>
      <c r="R6" s="16" t="s">
        <v>69</v>
      </c>
    </row>
    <row r="7" customFormat="false" ht="23.85" hidden="false" customHeight="true" outlineLevel="0" collapsed="false">
      <c r="B7" s="17" t="s">
        <v>70</v>
      </c>
      <c r="C7" s="18" t="s">
        <v>71</v>
      </c>
      <c r="D7" s="19" t="s">
        <v>72</v>
      </c>
      <c r="E7" s="20" t="s">
        <v>73</v>
      </c>
      <c r="F7" s="20" t="s">
        <v>7</v>
      </c>
      <c r="G7" s="21" t="s">
        <v>74</v>
      </c>
      <c r="H7" s="22" t="n">
        <v>1</v>
      </c>
      <c r="I7" s="22" t="n">
        <v>1</v>
      </c>
      <c r="J7" s="23" t="n">
        <f aca="false">EDATE(Charter!$D$11,$H7-1)</f>
        <v>46327</v>
      </c>
      <c r="K7" s="23" t="n">
        <f aca="false">EDATE(Charter!$D$11,$H7-1+$I7)-1</f>
        <v>46356</v>
      </c>
      <c r="L7" s="24" t="s">
        <v>75</v>
      </c>
      <c r="M7" s="24" t="s">
        <v>75</v>
      </c>
      <c r="N7" s="24"/>
      <c r="O7" s="24"/>
      <c r="P7" s="25" t="s">
        <v>45</v>
      </c>
      <c r="Q7" s="20" t="s">
        <v>76</v>
      </c>
      <c r="R7" s="26" t="s">
        <v>71</v>
      </c>
    </row>
    <row r="8" customFormat="false" ht="15" hidden="false" customHeight="false" outlineLevel="0" collapsed="false">
      <c r="B8" s="17"/>
      <c r="C8" s="18"/>
      <c r="D8" s="19" t="s">
        <v>77</v>
      </c>
      <c r="E8" s="20" t="s">
        <v>78</v>
      </c>
      <c r="F8" s="20" t="s">
        <v>79</v>
      </c>
      <c r="G8" s="21" t="s">
        <v>72</v>
      </c>
      <c r="H8" s="22" t="n">
        <v>1</v>
      </c>
      <c r="I8" s="22" t="n">
        <v>1</v>
      </c>
      <c r="J8" s="23" t="n">
        <f aca="false">EDATE(Charter!$D$11,$H8-1)</f>
        <v>46327</v>
      </c>
      <c r="K8" s="23" t="n">
        <f aca="false">EDATE(Charter!$D$11,$H8-1+$I8)-1</f>
        <v>46356</v>
      </c>
      <c r="L8" s="24" t="s">
        <v>75</v>
      </c>
      <c r="M8" s="24"/>
      <c r="N8" s="24"/>
      <c r="O8" s="24" t="s">
        <v>75</v>
      </c>
      <c r="P8" s="25" t="s">
        <v>45</v>
      </c>
      <c r="Q8" s="20" t="s">
        <v>80</v>
      </c>
      <c r="R8" s="26" t="s">
        <v>71</v>
      </c>
    </row>
    <row r="9" customFormat="false" ht="15" hidden="false" customHeight="false" outlineLevel="0" collapsed="false">
      <c r="B9" s="17"/>
      <c r="C9" s="18"/>
      <c r="D9" s="19" t="s">
        <v>81</v>
      </c>
      <c r="E9" s="20" t="s">
        <v>82</v>
      </c>
      <c r="F9" s="20" t="s">
        <v>79</v>
      </c>
      <c r="G9" s="21" t="s">
        <v>72</v>
      </c>
      <c r="H9" s="22" t="n">
        <v>1</v>
      </c>
      <c r="I9" s="22" t="n">
        <v>2</v>
      </c>
      <c r="J9" s="23" t="n">
        <f aca="false">EDATE(Charter!$D$11,$H9-1)</f>
        <v>46327</v>
      </c>
      <c r="K9" s="23" t="n">
        <f aca="false">EDATE(Charter!$D$11,$H9-1+$I9)-1</f>
        <v>46387</v>
      </c>
      <c r="L9" s="24" t="s">
        <v>75</v>
      </c>
      <c r="M9" s="24"/>
      <c r="N9" s="24"/>
      <c r="O9" s="24" t="s">
        <v>75</v>
      </c>
      <c r="P9" s="25" t="s">
        <v>45</v>
      </c>
      <c r="Q9" s="20" t="s">
        <v>83</v>
      </c>
      <c r="R9" s="26" t="s">
        <v>71</v>
      </c>
    </row>
    <row r="10" customFormat="false" ht="23.85" hidden="false" customHeight="false" outlineLevel="0" collapsed="false">
      <c r="B10" s="17"/>
      <c r="C10" s="18"/>
      <c r="D10" s="19" t="s">
        <v>84</v>
      </c>
      <c r="E10" s="20" t="s">
        <v>85</v>
      </c>
      <c r="F10" s="20" t="s">
        <v>86</v>
      </c>
      <c r="G10" s="21" t="s">
        <v>77</v>
      </c>
      <c r="H10" s="22" t="n">
        <v>2</v>
      </c>
      <c r="I10" s="22" t="n">
        <v>2</v>
      </c>
      <c r="J10" s="23" t="n">
        <f aca="false">EDATE(Charter!$D$11,$H10-1)</f>
        <v>46357</v>
      </c>
      <c r="K10" s="23" t="n">
        <f aca="false">EDATE(Charter!$D$11,$H10-1+$I10)-1</f>
        <v>46418</v>
      </c>
      <c r="L10" s="24" t="s">
        <v>75</v>
      </c>
      <c r="M10" s="24"/>
      <c r="N10" s="24"/>
      <c r="O10" s="24" t="s">
        <v>75</v>
      </c>
      <c r="P10" s="25" t="s">
        <v>45</v>
      </c>
      <c r="Q10" s="20" t="s">
        <v>87</v>
      </c>
      <c r="R10" s="26" t="s">
        <v>71</v>
      </c>
    </row>
    <row r="11" customFormat="false" ht="23.85" hidden="false" customHeight="false" outlineLevel="0" collapsed="false">
      <c r="B11" s="17"/>
      <c r="C11" s="18"/>
      <c r="D11" s="19" t="s">
        <v>88</v>
      </c>
      <c r="E11" s="20" t="s">
        <v>89</v>
      </c>
      <c r="F11" s="20" t="s">
        <v>90</v>
      </c>
      <c r="G11" s="21" t="s">
        <v>81</v>
      </c>
      <c r="H11" s="22" t="n">
        <v>2</v>
      </c>
      <c r="I11" s="22" t="n">
        <v>1</v>
      </c>
      <c r="J11" s="23" t="n">
        <f aca="false">EDATE(Charter!$D$11,$H11-1)</f>
        <v>46357</v>
      </c>
      <c r="K11" s="23" t="n">
        <f aca="false">EDATE(Charter!$D$11,$H11-1+$I11)-1</f>
        <v>46387</v>
      </c>
      <c r="L11" s="24" t="s">
        <v>75</v>
      </c>
      <c r="M11" s="24"/>
      <c r="N11" s="24" t="s">
        <v>75</v>
      </c>
      <c r="O11" s="24"/>
      <c r="P11" s="25" t="s">
        <v>45</v>
      </c>
      <c r="Q11" s="20" t="s">
        <v>91</v>
      </c>
      <c r="R11" s="26" t="s">
        <v>71</v>
      </c>
    </row>
    <row r="12" customFormat="false" ht="23.85" hidden="false" customHeight="false" outlineLevel="0" collapsed="false">
      <c r="B12" s="17"/>
      <c r="C12" s="18"/>
      <c r="D12" s="19" t="s">
        <v>92</v>
      </c>
      <c r="E12" s="20" t="s">
        <v>93</v>
      </c>
      <c r="F12" s="20" t="s">
        <v>7</v>
      </c>
      <c r="G12" s="21" t="s">
        <v>94</v>
      </c>
      <c r="H12" s="22" t="n">
        <v>3</v>
      </c>
      <c r="I12" s="22" t="n">
        <v>1</v>
      </c>
      <c r="J12" s="23" t="n">
        <f aca="false">EDATE(Charter!$D$11,$H12-1)</f>
        <v>46388</v>
      </c>
      <c r="K12" s="23" t="n">
        <f aca="false">EDATE(Charter!$D$11,$H12-1+$I12)-1</f>
        <v>46418</v>
      </c>
      <c r="L12" s="24" t="s">
        <v>75</v>
      </c>
      <c r="M12" s="24" t="s">
        <v>75</v>
      </c>
      <c r="N12" s="24"/>
      <c r="O12" s="24" t="s">
        <v>75</v>
      </c>
      <c r="P12" s="25" t="s">
        <v>45</v>
      </c>
      <c r="Q12" s="20" t="s">
        <v>95</v>
      </c>
      <c r="R12" s="26" t="s">
        <v>71</v>
      </c>
    </row>
    <row r="13" customFormat="false" ht="15" hidden="false" customHeight="true" outlineLevel="0" collapsed="false">
      <c r="B13" s="17"/>
      <c r="C13" s="27" t="s">
        <v>96</v>
      </c>
      <c r="D13" s="28" t="s">
        <v>97</v>
      </c>
      <c r="E13" s="20" t="s">
        <v>98</v>
      </c>
      <c r="F13" s="20" t="s">
        <v>90</v>
      </c>
      <c r="G13" s="21" t="s">
        <v>88</v>
      </c>
      <c r="H13" s="22" t="n">
        <v>2</v>
      </c>
      <c r="I13" s="22" t="n">
        <v>2</v>
      </c>
      <c r="J13" s="23" t="n">
        <f aca="false">EDATE(Charter!$D$11,$H13-1)</f>
        <v>46357</v>
      </c>
      <c r="K13" s="23" t="n">
        <f aca="false">EDATE(Charter!$D$11,$H13-1+$I13)-1</f>
        <v>46418</v>
      </c>
      <c r="L13" s="24" t="s">
        <v>75</v>
      </c>
      <c r="M13" s="24"/>
      <c r="N13" s="24" t="s">
        <v>75</v>
      </c>
      <c r="O13" s="24"/>
      <c r="P13" s="25" t="s">
        <v>45</v>
      </c>
      <c r="Q13" s="20" t="s">
        <v>99</v>
      </c>
      <c r="R13" s="26" t="s">
        <v>96</v>
      </c>
    </row>
    <row r="14" customFormat="false" ht="15" hidden="false" customHeight="false" outlineLevel="0" collapsed="false">
      <c r="B14" s="17"/>
      <c r="C14" s="27"/>
      <c r="D14" s="28" t="s">
        <v>100</v>
      </c>
      <c r="E14" s="20" t="s">
        <v>101</v>
      </c>
      <c r="F14" s="20" t="s">
        <v>102</v>
      </c>
      <c r="G14" s="21" t="s">
        <v>72</v>
      </c>
      <c r="H14" s="22" t="n">
        <v>2</v>
      </c>
      <c r="I14" s="22" t="n">
        <v>2</v>
      </c>
      <c r="J14" s="23" t="n">
        <f aca="false">EDATE(Charter!$D$11,$H14-1)</f>
        <v>46357</v>
      </c>
      <c r="K14" s="23" t="n">
        <f aca="false">EDATE(Charter!$D$11,$H14-1+$I14)-1</f>
        <v>46418</v>
      </c>
      <c r="L14" s="24" t="s">
        <v>75</v>
      </c>
      <c r="M14" s="24"/>
      <c r="N14" s="24" t="s">
        <v>75</v>
      </c>
      <c r="O14" s="24"/>
      <c r="P14" s="25" t="s">
        <v>45</v>
      </c>
      <c r="Q14" s="20" t="s">
        <v>103</v>
      </c>
      <c r="R14" s="26" t="s">
        <v>96</v>
      </c>
    </row>
    <row r="15" customFormat="false" ht="15" hidden="false" customHeight="false" outlineLevel="0" collapsed="false">
      <c r="B15" s="17"/>
      <c r="C15" s="27"/>
      <c r="D15" s="28" t="s">
        <v>104</v>
      </c>
      <c r="E15" s="20" t="s">
        <v>105</v>
      </c>
      <c r="F15" s="20" t="s">
        <v>102</v>
      </c>
      <c r="G15" s="21" t="s">
        <v>97</v>
      </c>
      <c r="H15" s="22" t="n">
        <v>3</v>
      </c>
      <c r="I15" s="22" t="n">
        <v>1</v>
      </c>
      <c r="J15" s="23" t="n">
        <f aca="false">EDATE(Charter!$D$11,$H15-1)</f>
        <v>46388</v>
      </c>
      <c r="K15" s="23" t="n">
        <f aca="false">EDATE(Charter!$D$11,$H15-1+$I15)-1</f>
        <v>46418</v>
      </c>
      <c r="L15" s="24" t="s">
        <v>75</v>
      </c>
      <c r="M15" s="24" t="s">
        <v>75</v>
      </c>
      <c r="N15" s="24"/>
      <c r="O15" s="24"/>
      <c r="P15" s="25" t="s">
        <v>45</v>
      </c>
      <c r="Q15" s="20" t="s">
        <v>106</v>
      </c>
      <c r="R15" s="26" t="s">
        <v>96</v>
      </c>
    </row>
    <row r="16" customFormat="false" ht="15" hidden="false" customHeight="false" outlineLevel="0" collapsed="false">
      <c r="B16" s="17"/>
      <c r="C16" s="27"/>
      <c r="D16" s="28" t="s">
        <v>107</v>
      </c>
      <c r="E16" s="20" t="s">
        <v>108</v>
      </c>
      <c r="F16" s="20" t="s">
        <v>90</v>
      </c>
      <c r="G16" s="21" t="s">
        <v>97</v>
      </c>
      <c r="H16" s="22" t="n">
        <v>3</v>
      </c>
      <c r="I16" s="22" t="n">
        <v>1</v>
      </c>
      <c r="J16" s="23" t="n">
        <f aca="false">EDATE(Charter!$D$11,$H16-1)</f>
        <v>46388</v>
      </c>
      <c r="K16" s="23" t="n">
        <f aca="false">EDATE(Charter!$D$11,$H16-1+$I16)-1</f>
        <v>46418</v>
      </c>
      <c r="L16" s="24" t="s">
        <v>75</v>
      </c>
      <c r="M16" s="24" t="s">
        <v>75</v>
      </c>
      <c r="N16" s="24"/>
      <c r="O16" s="24"/>
      <c r="P16" s="25" t="s">
        <v>45</v>
      </c>
      <c r="Q16" s="20" t="s">
        <v>109</v>
      </c>
      <c r="R16" s="26" t="s">
        <v>96</v>
      </c>
    </row>
    <row r="17" customFormat="false" ht="23.85" hidden="false" customHeight="false" outlineLevel="0" collapsed="false">
      <c r="B17" s="17"/>
      <c r="C17" s="27"/>
      <c r="D17" s="28" t="s">
        <v>110</v>
      </c>
      <c r="E17" s="20" t="s">
        <v>111</v>
      </c>
      <c r="F17" s="20" t="s">
        <v>112</v>
      </c>
      <c r="G17" s="21" t="s">
        <v>97</v>
      </c>
      <c r="H17" s="22" t="n">
        <v>3</v>
      </c>
      <c r="I17" s="22" t="n">
        <v>2</v>
      </c>
      <c r="J17" s="23" t="n">
        <f aca="false">EDATE(Charter!$D$11,$H17-1)</f>
        <v>46388</v>
      </c>
      <c r="K17" s="23" t="n">
        <f aca="false">EDATE(Charter!$D$11,$H17-1+$I17)-1</f>
        <v>46446</v>
      </c>
      <c r="L17" s="24" t="s">
        <v>75</v>
      </c>
      <c r="M17" s="24"/>
      <c r="N17" s="24" t="s">
        <v>75</v>
      </c>
      <c r="O17" s="24"/>
      <c r="P17" s="25" t="s">
        <v>45</v>
      </c>
      <c r="Q17" s="20" t="s">
        <v>113</v>
      </c>
      <c r="R17" s="26" t="s">
        <v>96</v>
      </c>
    </row>
    <row r="18" customFormat="false" ht="15" hidden="false" customHeight="false" outlineLevel="0" collapsed="false">
      <c r="B18" s="17"/>
      <c r="C18" s="27"/>
      <c r="D18" s="28" t="s">
        <v>114</v>
      </c>
      <c r="E18" s="20" t="s">
        <v>115</v>
      </c>
      <c r="F18" s="20" t="s">
        <v>90</v>
      </c>
      <c r="G18" s="21" t="s">
        <v>116</v>
      </c>
      <c r="H18" s="22" t="n">
        <v>4</v>
      </c>
      <c r="I18" s="22" t="n">
        <v>1</v>
      </c>
      <c r="J18" s="23" t="n">
        <f aca="false">EDATE(Charter!$D$11,$H18-1)</f>
        <v>46419</v>
      </c>
      <c r="K18" s="23" t="n">
        <f aca="false">EDATE(Charter!$D$11,$H18-1+$I18)-1</f>
        <v>46446</v>
      </c>
      <c r="L18" s="24" t="s">
        <v>75</v>
      </c>
      <c r="M18" s="24" t="s">
        <v>75</v>
      </c>
      <c r="N18" s="24"/>
      <c r="O18" s="24"/>
      <c r="P18" s="25" t="s">
        <v>45</v>
      </c>
      <c r="Q18" s="20" t="s">
        <v>117</v>
      </c>
      <c r="R18" s="26" t="s">
        <v>96</v>
      </c>
    </row>
    <row r="19" customFormat="false" ht="15" hidden="false" customHeight="true" outlineLevel="0" collapsed="false">
      <c r="B19" s="29" t="s">
        <v>118</v>
      </c>
      <c r="C19" s="30" t="s">
        <v>119</v>
      </c>
      <c r="D19" s="31" t="s">
        <v>120</v>
      </c>
      <c r="E19" s="32" t="s">
        <v>121</v>
      </c>
      <c r="F19" s="32" t="s">
        <v>79</v>
      </c>
      <c r="G19" s="33" t="s">
        <v>122</v>
      </c>
      <c r="H19" s="34" t="n">
        <v>4</v>
      </c>
      <c r="I19" s="34" t="n">
        <v>2</v>
      </c>
      <c r="J19" s="35" t="n">
        <f aca="false">EDATE(Charter!$D$11,$H19-1)</f>
        <v>46419</v>
      </c>
      <c r="K19" s="35" t="n">
        <f aca="false">EDATE(Charter!$D$11,$H19-1+$I19)-1</f>
        <v>46477</v>
      </c>
      <c r="L19" s="36" t="s">
        <v>75</v>
      </c>
      <c r="M19" s="36"/>
      <c r="N19" s="36"/>
      <c r="O19" s="36" t="s">
        <v>75</v>
      </c>
      <c r="P19" s="37" t="s">
        <v>45</v>
      </c>
      <c r="Q19" s="32" t="s">
        <v>123</v>
      </c>
      <c r="R19" s="26" t="s">
        <v>119</v>
      </c>
    </row>
    <row r="20" customFormat="false" ht="23.85" hidden="false" customHeight="false" outlineLevel="0" collapsed="false">
      <c r="B20" s="29"/>
      <c r="C20" s="30"/>
      <c r="D20" s="19" t="s">
        <v>124</v>
      </c>
      <c r="E20" s="20" t="s">
        <v>125</v>
      </c>
      <c r="F20" s="20" t="s">
        <v>90</v>
      </c>
      <c r="G20" s="21" t="s">
        <v>114</v>
      </c>
      <c r="H20" s="22" t="n">
        <v>5</v>
      </c>
      <c r="I20" s="22" t="n">
        <v>2</v>
      </c>
      <c r="J20" s="23" t="n">
        <f aca="false">EDATE(Charter!$D$11,$H20-1)</f>
        <v>46447</v>
      </c>
      <c r="K20" s="23" t="n">
        <f aca="false">EDATE(Charter!$D$11,$H20-1+$I20)-1</f>
        <v>46507</v>
      </c>
      <c r="L20" s="24" t="s">
        <v>75</v>
      </c>
      <c r="M20" s="24" t="s">
        <v>75</v>
      </c>
      <c r="N20" s="24"/>
      <c r="O20" s="24"/>
      <c r="P20" s="25" t="s">
        <v>45</v>
      </c>
      <c r="Q20" s="20" t="s">
        <v>126</v>
      </c>
      <c r="R20" s="26" t="s">
        <v>119</v>
      </c>
    </row>
    <row r="21" customFormat="false" ht="23.85" hidden="false" customHeight="false" outlineLevel="0" collapsed="false">
      <c r="B21" s="29"/>
      <c r="C21" s="30"/>
      <c r="D21" s="19" t="s">
        <v>127</v>
      </c>
      <c r="E21" s="20" t="s">
        <v>128</v>
      </c>
      <c r="F21" s="20" t="s">
        <v>129</v>
      </c>
      <c r="G21" s="21" t="s">
        <v>120</v>
      </c>
      <c r="H21" s="22" t="n">
        <v>5</v>
      </c>
      <c r="I21" s="22" t="n">
        <v>1</v>
      </c>
      <c r="J21" s="23" t="n">
        <f aca="false">EDATE(Charter!$D$11,$H21-1)</f>
        <v>46447</v>
      </c>
      <c r="K21" s="23" t="n">
        <f aca="false">EDATE(Charter!$D$11,$H21-1+$I21)-1</f>
        <v>46477</v>
      </c>
      <c r="L21" s="24" t="s">
        <v>75</v>
      </c>
      <c r="M21" s="24"/>
      <c r="N21" s="24"/>
      <c r="O21" s="24" t="s">
        <v>75</v>
      </c>
      <c r="P21" s="25" t="s">
        <v>45</v>
      </c>
      <c r="Q21" s="20" t="s">
        <v>130</v>
      </c>
      <c r="R21" s="26" t="s">
        <v>119</v>
      </c>
    </row>
    <row r="22" customFormat="false" ht="23.85" hidden="false" customHeight="false" outlineLevel="0" collapsed="false">
      <c r="B22" s="29"/>
      <c r="C22" s="30"/>
      <c r="D22" s="19" t="s">
        <v>131</v>
      </c>
      <c r="E22" s="20" t="s">
        <v>132</v>
      </c>
      <c r="F22" s="20" t="s">
        <v>102</v>
      </c>
      <c r="G22" s="21" t="s">
        <v>124</v>
      </c>
      <c r="H22" s="22" t="n">
        <v>6</v>
      </c>
      <c r="I22" s="22" t="n">
        <v>1</v>
      </c>
      <c r="J22" s="23" t="n">
        <f aca="false">EDATE(Charter!$D$11,$H22-1)</f>
        <v>46478</v>
      </c>
      <c r="K22" s="23" t="n">
        <f aca="false">EDATE(Charter!$D$11,$H22-1+$I22)-1</f>
        <v>46507</v>
      </c>
      <c r="L22" s="24" t="s">
        <v>75</v>
      </c>
      <c r="M22" s="24" t="s">
        <v>75</v>
      </c>
      <c r="N22" s="24" t="s">
        <v>75</v>
      </c>
      <c r="O22" s="24"/>
      <c r="P22" s="25" t="s">
        <v>45</v>
      </c>
      <c r="Q22" s="20" t="s">
        <v>133</v>
      </c>
      <c r="R22" s="26" t="s">
        <v>119</v>
      </c>
    </row>
    <row r="23" customFormat="false" ht="23.85" hidden="false" customHeight="false" outlineLevel="0" collapsed="false">
      <c r="B23" s="29"/>
      <c r="C23" s="30"/>
      <c r="D23" s="19" t="s">
        <v>134</v>
      </c>
      <c r="E23" s="20" t="s">
        <v>135</v>
      </c>
      <c r="F23" s="20" t="s">
        <v>7</v>
      </c>
      <c r="G23" s="21" t="s">
        <v>136</v>
      </c>
      <c r="H23" s="22" t="n">
        <v>6</v>
      </c>
      <c r="I23" s="22" t="n">
        <v>1</v>
      </c>
      <c r="J23" s="23" t="n">
        <f aca="false">EDATE(Charter!$D$11,$H23-1)</f>
        <v>46478</v>
      </c>
      <c r="K23" s="23" t="n">
        <f aca="false">EDATE(Charter!$D$11,$H23-1+$I23)-1</f>
        <v>46507</v>
      </c>
      <c r="L23" s="24" t="s">
        <v>75</v>
      </c>
      <c r="M23" s="24" t="s">
        <v>75</v>
      </c>
      <c r="N23" s="24"/>
      <c r="O23" s="24" t="s">
        <v>75</v>
      </c>
      <c r="P23" s="25" t="s">
        <v>45</v>
      </c>
      <c r="Q23" s="20" t="s">
        <v>137</v>
      </c>
      <c r="R23" s="26" t="s">
        <v>119</v>
      </c>
    </row>
    <row r="24" customFormat="false" ht="23.85" hidden="false" customHeight="true" outlineLevel="0" collapsed="false">
      <c r="B24" s="29" t="s">
        <v>138</v>
      </c>
      <c r="C24" s="38" t="s">
        <v>139</v>
      </c>
      <c r="D24" s="39" t="s">
        <v>140</v>
      </c>
      <c r="E24" s="32" t="s">
        <v>141</v>
      </c>
      <c r="F24" s="32" t="s">
        <v>142</v>
      </c>
      <c r="G24" s="33" t="s">
        <v>114</v>
      </c>
      <c r="H24" s="34" t="n">
        <v>4</v>
      </c>
      <c r="I24" s="34" t="n">
        <v>1</v>
      </c>
      <c r="J24" s="35" t="n">
        <f aca="false">EDATE(Charter!$D$11,$H24-1)</f>
        <v>46419</v>
      </c>
      <c r="K24" s="35" t="n">
        <f aca="false">EDATE(Charter!$D$11,$H24-1+$I24)-1</f>
        <v>46446</v>
      </c>
      <c r="L24" s="36" t="s">
        <v>75</v>
      </c>
      <c r="M24" s="36"/>
      <c r="N24" s="36"/>
      <c r="O24" s="36"/>
      <c r="P24" s="37" t="s">
        <v>45</v>
      </c>
      <c r="Q24" s="32" t="s">
        <v>143</v>
      </c>
      <c r="R24" s="26" t="s">
        <v>139</v>
      </c>
    </row>
    <row r="25" customFormat="false" ht="15" hidden="false" customHeight="false" outlineLevel="0" collapsed="false">
      <c r="B25" s="29"/>
      <c r="C25" s="38"/>
      <c r="D25" s="28" t="s">
        <v>144</v>
      </c>
      <c r="E25" s="20" t="s">
        <v>145</v>
      </c>
      <c r="F25" s="20" t="s">
        <v>102</v>
      </c>
      <c r="G25" s="21" t="s">
        <v>114</v>
      </c>
      <c r="H25" s="22" t="n">
        <v>4</v>
      </c>
      <c r="I25" s="22" t="n">
        <v>2</v>
      </c>
      <c r="J25" s="23" t="n">
        <f aca="false">EDATE(Charter!$D$11,$H25-1)</f>
        <v>46419</v>
      </c>
      <c r="K25" s="23" t="n">
        <f aca="false">EDATE(Charter!$D$11,$H25-1+$I25)-1</f>
        <v>46477</v>
      </c>
      <c r="L25" s="24" t="s">
        <v>75</v>
      </c>
      <c r="M25" s="24" t="s">
        <v>75</v>
      </c>
      <c r="N25" s="24"/>
      <c r="O25" s="24"/>
      <c r="P25" s="25" t="s">
        <v>45</v>
      </c>
      <c r="Q25" s="20" t="s">
        <v>146</v>
      </c>
      <c r="R25" s="26" t="s">
        <v>139</v>
      </c>
    </row>
    <row r="26" customFormat="false" ht="23.85" hidden="false" customHeight="false" outlineLevel="0" collapsed="false">
      <c r="B26" s="29"/>
      <c r="C26" s="38"/>
      <c r="D26" s="28" t="s">
        <v>147</v>
      </c>
      <c r="E26" s="20" t="s">
        <v>148</v>
      </c>
      <c r="F26" s="20" t="s">
        <v>129</v>
      </c>
      <c r="G26" s="21" t="s">
        <v>140</v>
      </c>
      <c r="H26" s="22" t="n">
        <v>5</v>
      </c>
      <c r="I26" s="22" t="n">
        <v>2</v>
      </c>
      <c r="J26" s="23" t="n">
        <f aca="false">EDATE(Charter!$D$11,$H26-1)</f>
        <v>46447</v>
      </c>
      <c r="K26" s="23" t="n">
        <f aca="false">EDATE(Charter!$D$11,$H26-1+$I26)-1</f>
        <v>46507</v>
      </c>
      <c r="L26" s="24" t="s">
        <v>75</v>
      </c>
      <c r="M26" s="24" t="s">
        <v>75</v>
      </c>
      <c r="N26" s="24"/>
      <c r="O26" s="24"/>
      <c r="P26" s="25" t="s">
        <v>45</v>
      </c>
      <c r="Q26" s="20" t="s">
        <v>149</v>
      </c>
      <c r="R26" s="26" t="s">
        <v>139</v>
      </c>
    </row>
    <row r="27" customFormat="false" ht="23.85" hidden="false" customHeight="false" outlineLevel="0" collapsed="false">
      <c r="B27" s="29"/>
      <c r="C27" s="38"/>
      <c r="D27" s="28" t="s">
        <v>150</v>
      </c>
      <c r="E27" s="20" t="s">
        <v>151</v>
      </c>
      <c r="F27" s="20" t="s">
        <v>112</v>
      </c>
      <c r="G27" s="21" t="s">
        <v>140</v>
      </c>
      <c r="H27" s="22" t="n">
        <v>5</v>
      </c>
      <c r="I27" s="22" t="n">
        <v>2</v>
      </c>
      <c r="J27" s="23" t="n">
        <f aca="false">EDATE(Charter!$D$11,$H27-1)</f>
        <v>46447</v>
      </c>
      <c r="K27" s="23" t="n">
        <f aca="false">EDATE(Charter!$D$11,$H27-1+$I27)-1</f>
        <v>46507</v>
      </c>
      <c r="L27" s="24" t="s">
        <v>75</v>
      </c>
      <c r="M27" s="24"/>
      <c r="N27" s="24"/>
      <c r="O27" s="24"/>
      <c r="P27" s="25" t="s">
        <v>45</v>
      </c>
      <c r="Q27" s="20" t="s">
        <v>152</v>
      </c>
      <c r="R27" s="26" t="s">
        <v>139</v>
      </c>
    </row>
    <row r="28" customFormat="false" ht="23.85" hidden="false" customHeight="false" outlineLevel="0" collapsed="false">
      <c r="B28" s="29"/>
      <c r="C28" s="38"/>
      <c r="D28" s="28" t="s">
        <v>153</v>
      </c>
      <c r="E28" s="20" t="s">
        <v>154</v>
      </c>
      <c r="F28" s="20" t="s">
        <v>112</v>
      </c>
      <c r="G28" s="21" t="s">
        <v>155</v>
      </c>
      <c r="H28" s="22" t="n">
        <v>6</v>
      </c>
      <c r="I28" s="22" t="n">
        <v>2</v>
      </c>
      <c r="J28" s="23" t="n">
        <f aca="false">EDATE(Charter!$D$11,$H28-1)</f>
        <v>46478</v>
      </c>
      <c r="K28" s="23" t="n">
        <f aca="false">EDATE(Charter!$D$11,$H28-1+$I28)-1</f>
        <v>46538</v>
      </c>
      <c r="L28" s="24" t="s">
        <v>75</v>
      </c>
      <c r="M28" s="24"/>
      <c r="N28" s="24" t="s">
        <v>75</v>
      </c>
      <c r="O28" s="24"/>
      <c r="P28" s="25" t="s">
        <v>45</v>
      </c>
      <c r="Q28" s="20" t="s">
        <v>156</v>
      </c>
      <c r="R28" s="26" t="s">
        <v>139</v>
      </c>
    </row>
    <row r="29" customFormat="false" ht="23.85" hidden="false" customHeight="false" outlineLevel="0" collapsed="false">
      <c r="B29" s="29"/>
      <c r="C29" s="38"/>
      <c r="D29" s="28" t="s">
        <v>157</v>
      </c>
      <c r="E29" s="20" t="s">
        <v>158</v>
      </c>
      <c r="F29" s="20" t="s">
        <v>112</v>
      </c>
      <c r="G29" s="21" t="s">
        <v>153</v>
      </c>
      <c r="H29" s="22" t="n">
        <v>7</v>
      </c>
      <c r="I29" s="22" t="n">
        <v>1</v>
      </c>
      <c r="J29" s="23" t="n">
        <f aca="false">EDATE(Charter!$D$11,$H29-1)</f>
        <v>46508</v>
      </c>
      <c r="K29" s="23" t="n">
        <f aca="false">EDATE(Charter!$D$11,$H29-1+$I29)-1</f>
        <v>46538</v>
      </c>
      <c r="L29" s="24" t="s">
        <v>75</v>
      </c>
      <c r="M29" s="24"/>
      <c r="N29" s="24"/>
      <c r="O29" s="24"/>
      <c r="P29" s="25" t="s">
        <v>45</v>
      </c>
      <c r="Q29" s="20" t="s">
        <v>159</v>
      </c>
      <c r="R29" s="26" t="s">
        <v>139</v>
      </c>
    </row>
    <row r="30" customFormat="false" ht="15" hidden="false" customHeight="false" outlineLevel="0" collapsed="false">
      <c r="B30" s="29"/>
      <c r="C30" s="38"/>
      <c r="D30" s="28" t="s">
        <v>160</v>
      </c>
      <c r="E30" s="20" t="s">
        <v>161</v>
      </c>
      <c r="F30" s="20" t="s">
        <v>142</v>
      </c>
      <c r="G30" s="21" t="s">
        <v>140</v>
      </c>
      <c r="H30" s="22" t="n">
        <v>6</v>
      </c>
      <c r="I30" s="22" t="n">
        <v>2</v>
      </c>
      <c r="J30" s="23" t="n">
        <f aca="false">EDATE(Charter!$D$11,$H30-1)</f>
        <v>46478</v>
      </c>
      <c r="K30" s="23" t="n">
        <f aca="false">EDATE(Charter!$D$11,$H30-1+$I30)-1</f>
        <v>46538</v>
      </c>
      <c r="L30" s="24" t="s">
        <v>75</v>
      </c>
      <c r="M30" s="24"/>
      <c r="N30" s="24"/>
      <c r="O30" s="24"/>
      <c r="P30" s="25" t="s">
        <v>45</v>
      </c>
      <c r="Q30" s="20" t="s">
        <v>162</v>
      </c>
      <c r="R30" s="26" t="s">
        <v>139</v>
      </c>
    </row>
    <row r="31" customFormat="false" ht="15" hidden="false" customHeight="false" outlineLevel="0" collapsed="false">
      <c r="B31" s="29"/>
      <c r="C31" s="38"/>
      <c r="D31" s="28" t="s">
        <v>163</v>
      </c>
      <c r="E31" s="20" t="s">
        <v>164</v>
      </c>
      <c r="F31" s="20" t="s">
        <v>165</v>
      </c>
      <c r="G31" s="21" t="s">
        <v>166</v>
      </c>
      <c r="H31" s="22" t="n">
        <v>8</v>
      </c>
      <c r="I31" s="22" t="n">
        <v>1</v>
      </c>
      <c r="J31" s="23" t="n">
        <f aca="false">EDATE(Charter!$D$11,$H31-1)</f>
        <v>46539</v>
      </c>
      <c r="K31" s="23" t="n">
        <f aca="false">EDATE(Charter!$D$11,$H31-1+$I31)-1</f>
        <v>46568</v>
      </c>
      <c r="L31" s="24" t="s">
        <v>75</v>
      </c>
      <c r="M31" s="24"/>
      <c r="N31" s="24"/>
      <c r="O31" s="24"/>
      <c r="P31" s="25" t="s">
        <v>45</v>
      </c>
      <c r="Q31" s="20" t="s">
        <v>167</v>
      </c>
      <c r="R31" s="26" t="s">
        <v>139</v>
      </c>
    </row>
    <row r="32" customFormat="false" ht="15" hidden="false" customHeight="true" outlineLevel="0" collapsed="false">
      <c r="B32" s="29"/>
      <c r="C32" s="18" t="s">
        <v>168</v>
      </c>
      <c r="D32" s="19" t="s">
        <v>169</v>
      </c>
      <c r="E32" s="20" t="s">
        <v>170</v>
      </c>
      <c r="F32" s="20" t="s">
        <v>171</v>
      </c>
      <c r="G32" s="21" t="s">
        <v>153</v>
      </c>
      <c r="H32" s="22" t="n">
        <v>6</v>
      </c>
      <c r="I32" s="22" t="n">
        <v>2</v>
      </c>
      <c r="J32" s="23" t="n">
        <f aca="false">EDATE(Charter!$D$11,$H32-1)</f>
        <v>46478</v>
      </c>
      <c r="K32" s="23" t="n">
        <f aca="false">EDATE(Charter!$D$11,$H32-1+$I32)-1</f>
        <v>46538</v>
      </c>
      <c r="L32" s="24" t="s">
        <v>75</v>
      </c>
      <c r="M32" s="24"/>
      <c r="N32" s="24" t="s">
        <v>75</v>
      </c>
      <c r="O32" s="24"/>
      <c r="P32" s="25" t="s">
        <v>45</v>
      </c>
      <c r="Q32" s="20" t="s">
        <v>172</v>
      </c>
      <c r="R32" s="26" t="s">
        <v>168</v>
      </c>
    </row>
    <row r="33" customFormat="false" ht="15" hidden="false" customHeight="false" outlineLevel="0" collapsed="false">
      <c r="B33" s="29"/>
      <c r="C33" s="18"/>
      <c r="D33" s="19" t="s">
        <v>173</v>
      </c>
      <c r="E33" s="20" t="s">
        <v>174</v>
      </c>
      <c r="F33" s="20" t="s">
        <v>171</v>
      </c>
      <c r="G33" s="21" t="s">
        <v>169</v>
      </c>
      <c r="H33" s="22" t="n">
        <v>7</v>
      </c>
      <c r="I33" s="22" t="n">
        <v>2</v>
      </c>
      <c r="J33" s="23" t="n">
        <f aca="false">EDATE(Charter!$D$11,$H33-1)</f>
        <v>46508</v>
      </c>
      <c r="K33" s="23" t="n">
        <f aca="false">EDATE(Charter!$D$11,$H33-1+$I33)-1</f>
        <v>46568</v>
      </c>
      <c r="L33" s="24" t="s">
        <v>75</v>
      </c>
      <c r="M33" s="24"/>
      <c r="N33" s="24"/>
      <c r="O33" s="24" t="s">
        <v>75</v>
      </c>
      <c r="P33" s="25" t="s">
        <v>45</v>
      </c>
      <c r="Q33" s="20" t="s">
        <v>175</v>
      </c>
      <c r="R33" s="26" t="s">
        <v>168</v>
      </c>
    </row>
    <row r="34" customFormat="false" ht="23.85" hidden="false" customHeight="false" outlineLevel="0" collapsed="false">
      <c r="B34" s="29"/>
      <c r="C34" s="18"/>
      <c r="D34" s="19" t="s">
        <v>176</v>
      </c>
      <c r="E34" s="20" t="s">
        <v>177</v>
      </c>
      <c r="F34" s="20" t="s">
        <v>112</v>
      </c>
      <c r="G34" s="21" t="s">
        <v>153</v>
      </c>
      <c r="H34" s="22" t="n">
        <v>7</v>
      </c>
      <c r="I34" s="22" t="n">
        <v>1</v>
      </c>
      <c r="J34" s="23" t="n">
        <f aca="false">EDATE(Charter!$D$11,$H34-1)</f>
        <v>46508</v>
      </c>
      <c r="K34" s="23" t="n">
        <f aca="false">EDATE(Charter!$D$11,$H34-1+$I34)-1</f>
        <v>46538</v>
      </c>
      <c r="L34" s="24" t="s">
        <v>75</v>
      </c>
      <c r="M34" s="24" t="s">
        <v>75</v>
      </c>
      <c r="N34" s="24"/>
      <c r="O34" s="24"/>
      <c r="P34" s="25" t="s">
        <v>45</v>
      </c>
      <c r="Q34" s="20" t="s">
        <v>178</v>
      </c>
      <c r="R34" s="26" t="s">
        <v>168</v>
      </c>
    </row>
    <row r="35" customFormat="false" ht="23.85" hidden="false" customHeight="false" outlineLevel="0" collapsed="false">
      <c r="B35" s="29"/>
      <c r="C35" s="18"/>
      <c r="D35" s="19" t="s">
        <v>179</v>
      </c>
      <c r="E35" s="20" t="s">
        <v>180</v>
      </c>
      <c r="F35" s="20" t="s">
        <v>112</v>
      </c>
      <c r="G35" s="21" t="s">
        <v>173</v>
      </c>
      <c r="H35" s="22" t="n">
        <v>8</v>
      </c>
      <c r="I35" s="22" t="n">
        <v>1</v>
      </c>
      <c r="J35" s="23" t="n">
        <f aca="false">EDATE(Charter!$D$11,$H35-1)</f>
        <v>46539</v>
      </c>
      <c r="K35" s="23" t="n">
        <f aca="false">EDATE(Charter!$D$11,$H35-1+$I35)-1</f>
        <v>46568</v>
      </c>
      <c r="L35" s="24" t="s">
        <v>75</v>
      </c>
      <c r="M35" s="24" t="s">
        <v>75</v>
      </c>
      <c r="N35" s="24"/>
      <c r="O35" s="24"/>
      <c r="P35" s="25" t="s">
        <v>45</v>
      </c>
      <c r="Q35" s="20" t="s">
        <v>181</v>
      </c>
      <c r="R35" s="26" t="s">
        <v>168</v>
      </c>
    </row>
    <row r="36" customFormat="false" ht="15" hidden="false" customHeight="false" outlineLevel="0" collapsed="false">
      <c r="B36" s="29"/>
      <c r="C36" s="18"/>
      <c r="D36" s="19" t="s">
        <v>182</v>
      </c>
      <c r="E36" s="20" t="s">
        <v>183</v>
      </c>
      <c r="F36" s="20" t="s">
        <v>165</v>
      </c>
      <c r="G36" s="21" t="s">
        <v>184</v>
      </c>
      <c r="H36" s="22" t="n">
        <v>9</v>
      </c>
      <c r="I36" s="22" t="n">
        <v>1</v>
      </c>
      <c r="J36" s="23" t="n">
        <f aca="false">EDATE(Charter!$D$11,$H36-1)</f>
        <v>46569</v>
      </c>
      <c r="K36" s="23" t="n">
        <f aca="false">EDATE(Charter!$D$11,$H36-1+$I36)-1</f>
        <v>46599</v>
      </c>
      <c r="L36" s="24" t="s">
        <v>75</v>
      </c>
      <c r="M36" s="24"/>
      <c r="N36" s="24"/>
      <c r="O36" s="24"/>
      <c r="P36" s="25" t="s">
        <v>45</v>
      </c>
      <c r="Q36" s="20" t="s">
        <v>185</v>
      </c>
      <c r="R36" s="26" t="s">
        <v>168</v>
      </c>
    </row>
    <row r="37" customFormat="false" ht="15" hidden="false" customHeight="true" outlineLevel="0" collapsed="false">
      <c r="B37" s="29"/>
      <c r="C37" s="27" t="s">
        <v>186</v>
      </c>
      <c r="D37" s="28" t="s">
        <v>187</v>
      </c>
      <c r="E37" s="20" t="s">
        <v>188</v>
      </c>
      <c r="F37" s="20" t="s">
        <v>90</v>
      </c>
      <c r="G37" s="21" t="s">
        <v>189</v>
      </c>
      <c r="H37" s="22" t="n">
        <v>8</v>
      </c>
      <c r="I37" s="22" t="n">
        <v>1</v>
      </c>
      <c r="J37" s="23" t="n">
        <f aca="false">EDATE(Charter!$D$11,$H37-1)</f>
        <v>46539</v>
      </c>
      <c r="K37" s="23" t="n">
        <f aca="false">EDATE(Charter!$D$11,$H37-1+$I37)-1</f>
        <v>46568</v>
      </c>
      <c r="L37" s="24" t="s">
        <v>75</v>
      </c>
      <c r="M37" s="24"/>
      <c r="N37" s="24" t="s">
        <v>75</v>
      </c>
      <c r="O37" s="24"/>
      <c r="P37" s="25" t="s">
        <v>45</v>
      </c>
      <c r="Q37" s="20" t="s">
        <v>190</v>
      </c>
      <c r="R37" s="26" t="s">
        <v>186</v>
      </c>
    </row>
    <row r="38" customFormat="false" ht="15" hidden="false" customHeight="false" outlineLevel="0" collapsed="false">
      <c r="B38" s="29"/>
      <c r="C38" s="27"/>
      <c r="D38" s="28" t="s">
        <v>191</v>
      </c>
      <c r="E38" s="20" t="s">
        <v>192</v>
      </c>
      <c r="F38" s="20" t="s">
        <v>171</v>
      </c>
      <c r="G38" s="21" t="s">
        <v>173</v>
      </c>
      <c r="H38" s="22" t="n">
        <v>8</v>
      </c>
      <c r="I38" s="22" t="n">
        <v>2</v>
      </c>
      <c r="J38" s="23" t="n">
        <f aca="false">EDATE(Charter!$D$11,$H38-1)</f>
        <v>46539</v>
      </c>
      <c r="K38" s="23" t="n">
        <f aca="false">EDATE(Charter!$D$11,$H38-1+$I38)-1</f>
        <v>46599</v>
      </c>
      <c r="L38" s="24" t="s">
        <v>75</v>
      </c>
      <c r="M38" s="24"/>
      <c r="N38" s="24"/>
      <c r="O38" s="24" t="s">
        <v>75</v>
      </c>
      <c r="P38" s="25" t="s">
        <v>45</v>
      </c>
      <c r="Q38" s="20" t="s">
        <v>193</v>
      </c>
      <c r="R38" s="26" t="s">
        <v>186</v>
      </c>
    </row>
    <row r="39" customFormat="false" ht="23.85" hidden="false" customHeight="false" outlineLevel="0" collapsed="false">
      <c r="B39" s="29"/>
      <c r="C39" s="27"/>
      <c r="D39" s="28" t="s">
        <v>194</v>
      </c>
      <c r="E39" s="20" t="s">
        <v>195</v>
      </c>
      <c r="F39" s="20" t="s">
        <v>112</v>
      </c>
      <c r="G39" s="21" t="s">
        <v>187</v>
      </c>
      <c r="H39" s="22" t="n">
        <v>9</v>
      </c>
      <c r="I39" s="22" t="n">
        <v>2</v>
      </c>
      <c r="J39" s="23" t="n">
        <f aca="false">EDATE(Charter!$D$11,$H39-1)</f>
        <v>46569</v>
      </c>
      <c r="K39" s="23" t="n">
        <f aca="false">EDATE(Charter!$D$11,$H39-1+$I39)-1</f>
        <v>46630</v>
      </c>
      <c r="L39" s="24" t="s">
        <v>75</v>
      </c>
      <c r="M39" s="24"/>
      <c r="N39" s="24" t="s">
        <v>75</v>
      </c>
      <c r="O39" s="24"/>
      <c r="P39" s="25" t="s">
        <v>45</v>
      </c>
      <c r="Q39" s="20" t="s">
        <v>196</v>
      </c>
      <c r="R39" s="26" t="s">
        <v>186</v>
      </c>
    </row>
    <row r="40" customFormat="false" ht="23.85" hidden="false" customHeight="false" outlineLevel="0" collapsed="false">
      <c r="B40" s="29"/>
      <c r="C40" s="27"/>
      <c r="D40" s="28" t="s">
        <v>197</v>
      </c>
      <c r="E40" s="20" t="s">
        <v>198</v>
      </c>
      <c r="F40" s="20" t="s">
        <v>112</v>
      </c>
      <c r="G40" s="21" t="s">
        <v>199</v>
      </c>
      <c r="H40" s="22" t="n">
        <v>10</v>
      </c>
      <c r="I40" s="22" t="n">
        <v>2</v>
      </c>
      <c r="J40" s="23" t="n">
        <f aca="false">EDATE(Charter!$D$11,$H40-1)</f>
        <v>46600</v>
      </c>
      <c r="K40" s="23" t="n">
        <f aca="false">EDATE(Charter!$D$11,$H40-1+$I40)-1</f>
        <v>46660</v>
      </c>
      <c r="L40" s="24" t="s">
        <v>75</v>
      </c>
      <c r="M40" s="24" t="s">
        <v>75</v>
      </c>
      <c r="N40" s="24" t="s">
        <v>75</v>
      </c>
      <c r="O40" s="24"/>
      <c r="P40" s="25" t="s">
        <v>45</v>
      </c>
      <c r="Q40" s="20" t="s">
        <v>200</v>
      </c>
      <c r="R40" s="26" t="s">
        <v>186</v>
      </c>
    </row>
    <row r="41" customFormat="false" ht="15" hidden="false" customHeight="false" outlineLevel="0" collapsed="false">
      <c r="B41" s="29"/>
      <c r="C41" s="27"/>
      <c r="D41" s="28" t="s">
        <v>201</v>
      </c>
      <c r="E41" s="20" t="s">
        <v>202</v>
      </c>
      <c r="F41" s="20" t="s">
        <v>171</v>
      </c>
      <c r="G41" s="21" t="s">
        <v>197</v>
      </c>
      <c r="H41" s="22" t="n">
        <v>11</v>
      </c>
      <c r="I41" s="22" t="n">
        <v>1</v>
      </c>
      <c r="J41" s="23" t="n">
        <f aca="false">EDATE(Charter!$D$11,$H41-1)</f>
        <v>46631</v>
      </c>
      <c r="K41" s="23" t="n">
        <f aca="false">EDATE(Charter!$D$11,$H41-1+$I41)-1</f>
        <v>46660</v>
      </c>
      <c r="L41" s="24" t="s">
        <v>75</v>
      </c>
      <c r="M41" s="24"/>
      <c r="N41" s="24"/>
      <c r="O41" s="24" t="s">
        <v>75</v>
      </c>
      <c r="P41" s="25" t="s">
        <v>45</v>
      </c>
      <c r="Q41" s="20" t="s">
        <v>203</v>
      </c>
      <c r="R41" s="26" t="s">
        <v>186</v>
      </c>
    </row>
    <row r="42" customFormat="false" ht="15" hidden="false" customHeight="false" outlineLevel="0" collapsed="false">
      <c r="B42" s="29"/>
      <c r="C42" s="27"/>
      <c r="D42" s="28" t="s">
        <v>204</v>
      </c>
      <c r="E42" s="20" t="s">
        <v>205</v>
      </c>
      <c r="F42" s="20" t="s">
        <v>165</v>
      </c>
      <c r="G42" s="21" t="s">
        <v>206</v>
      </c>
      <c r="H42" s="22" t="n">
        <v>12</v>
      </c>
      <c r="I42" s="22" t="n">
        <v>1</v>
      </c>
      <c r="J42" s="23" t="n">
        <f aca="false">EDATE(Charter!$D$11,$H42-1)</f>
        <v>46661</v>
      </c>
      <c r="K42" s="23" t="n">
        <f aca="false">EDATE(Charter!$D$11,$H42-1+$I42)-1</f>
        <v>46691</v>
      </c>
      <c r="L42" s="24" t="s">
        <v>75</v>
      </c>
      <c r="M42" s="24"/>
      <c r="N42" s="24"/>
      <c r="O42" s="24"/>
      <c r="P42" s="25" t="s">
        <v>45</v>
      </c>
      <c r="Q42" s="20" t="s">
        <v>207</v>
      </c>
      <c r="R42" s="26" t="s">
        <v>186</v>
      </c>
    </row>
    <row r="43" customFormat="false" ht="15" hidden="false" customHeight="true" outlineLevel="0" collapsed="false">
      <c r="B43" s="29"/>
      <c r="C43" s="18" t="s">
        <v>208</v>
      </c>
      <c r="D43" s="19" t="s">
        <v>209</v>
      </c>
      <c r="E43" s="20" t="s">
        <v>210</v>
      </c>
      <c r="F43" s="20" t="s">
        <v>79</v>
      </c>
      <c r="G43" s="21" t="s">
        <v>182</v>
      </c>
      <c r="H43" s="22" t="n">
        <v>10</v>
      </c>
      <c r="I43" s="22" t="n">
        <v>1</v>
      </c>
      <c r="J43" s="23" t="n">
        <f aca="false">EDATE(Charter!$D$11,$H43-1)</f>
        <v>46600</v>
      </c>
      <c r="K43" s="23" t="n">
        <f aca="false">EDATE(Charter!$D$11,$H43-1+$I43)-1</f>
        <v>46630</v>
      </c>
      <c r="L43" s="24" t="s">
        <v>75</v>
      </c>
      <c r="M43" s="24"/>
      <c r="N43" s="24"/>
      <c r="O43" s="24" t="s">
        <v>75</v>
      </c>
      <c r="P43" s="25" t="s">
        <v>45</v>
      </c>
      <c r="Q43" s="20" t="s">
        <v>211</v>
      </c>
      <c r="R43" s="26" t="s">
        <v>208</v>
      </c>
    </row>
    <row r="44" customFormat="false" ht="23.85" hidden="false" customHeight="false" outlineLevel="0" collapsed="false">
      <c r="B44" s="29"/>
      <c r="C44" s="18"/>
      <c r="D44" s="19" t="s">
        <v>212</v>
      </c>
      <c r="E44" s="20" t="s">
        <v>213</v>
      </c>
      <c r="F44" s="20" t="s">
        <v>112</v>
      </c>
      <c r="G44" s="21" t="s">
        <v>209</v>
      </c>
      <c r="H44" s="22" t="n">
        <v>11</v>
      </c>
      <c r="I44" s="22" t="n">
        <v>2</v>
      </c>
      <c r="J44" s="23" t="n">
        <f aca="false">EDATE(Charter!$D$11,$H44-1)</f>
        <v>46631</v>
      </c>
      <c r="K44" s="23" t="n">
        <f aca="false">EDATE(Charter!$D$11,$H44-1+$I44)-1</f>
        <v>46691</v>
      </c>
      <c r="L44" s="24" t="s">
        <v>75</v>
      </c>
      <c r="M44" s="24" t="s">
        <v>75</v>
      </c>
      <c r="N44" s="24"/>
      <c r="O44" s="24"/>
      <c r="P44" s="25" t="s">
        <v>45</v>
      </c>
      <c r="Q44" s="20" t="s">
        <v>214</v>
      </c>
      <c r="R44" s="26" t="s">
        <v>208</v>
      </c>
    </row>
    <row r="45" customFormat="false" ht="23.85" hidden="false" customHeight="false" outlineLevel="0" collapsed="false">
      <c r="B45" s="29"/>
      <c r="C45" s="18"/>
      <c r="D45" s="19" t="s">
        <v>215</v>
      </c>
      <c r="E45" s="20" t="s">
        <v>216</v>
      </c>
      <c r="F45" s="20" t="s">
        <v>112</v>
      </c>
      <c r="G45" s="21" t="s">
        <v>212</v>
      </c>
      <c r="H45" s="22" t="n">
        <v>12</v>
      </c>
      <c r="I45" s="22" t="n">
        <v>1</v>
      </c>
      <c r="J45" s="23" t="n">
        <f aca="false">EDATE(Charter!$D$11,$H45-1)</f>
        <v>46661</v>
      </c>
      <c r="K45" s="23" t="n">
        <f aca="false">EDATE(Charter!$D$11,$H45-1+$I45)-1</f>
        <v>46691</v>
      </c>
      <c r="L45" s="24" t="s">
        <v>75</v>
      </c>
      <c r="M45" s="24"/>
      <c r="N45" s="24" t="s">
        <v>75</v>
      </c>
      <c r="O45" s="24"/>
      <c r="P45" s="25" t="s">
        <v>45</v>
      </c>
      <c r="Q45" s="20" t="s">
        <v>217</v>
      </c>
      <c r="R45" s="26" t="s">
        <v>208</v>
      </c>
    </row>
    <row r="46" customFormat="false" ht="15" hidden="false" customHeight="false" outlineLevel="0" collapsed="false">
      <c r="B46" s="29"/>
      <c r="C46" s="18"/>
      <c r="D46" s="19" t="s">
        <v>218</v>
      </c>
      <c r="E46" s="20" t="s">
        <v>219</v>
      </c>
      <c r="F46" s="20" t="s">
        <v>129</v>
      </c>
      <c r="G46" s="21" t="s">
        <v>212</v>
      </c>
      <c r="H46" s="22" t="n">
        <v>12</v>
      </c>
      <c r="I46" s="22" t="n">
        <v>1</v>
      </c>
      <c r="J46" s="23" t="n">
        <f aca="false">EDATE(Charter!$D$11,$H46-1)</f>
        <v>46661</v>
      </c>
      <c r="K46" s="23" t="n">
        <f aca="false">EDATE(Charter!$D$11,$H46-1+$I46)-1</f>
        <v>46691</v>
      </c>
      <c r="L46" s="24" t="s">
        <v>75</v>
      </c>
      <c r="M46" s="24"/>
      <c r="N46" s="24"/>
      <c r="O46" s="24"/>
      <c r="P46" s="25" t="s">
        <v>45</v>
      </c>
      <c r="Q46" s="20" t="s">
        <v>220</v>
      </c>
      <c r="R46" s="26" t="s">
        <v>208</v>
      </c>
    </row>
    <row r="47" customFormat="false" ht="15" hidden="false" customHeight="false" outlineLevel="0" collapsed="false">
      <c r="B47" s="29"/>
      <c r="C47" s="18"/>
      <c r="D47" s="19" t="s">
        <v>221</v>
      </c>
      <c r="E47" s="20" t="s">
        <v>222</v>
      </c>
      <c r="F47" s="20" t="s">
        <v>165</v>
      </c>
      <c r="G47" s="21" t="s">
        <v>223</v>
      </c>
      <c r="H47" s="22" t="n">
        <v>13</v>
      </c>
      <c r="I47" s="22" t="n">
        <v>1</v>
      </c>
      <c r="J47" s="23" t="n">
        <f aca="false">EDATE(Charter!$D$11,$H47-1)</f>
        <v>46692</v>
      </c>
      <c r="K47" s="23" t="n">
        <f aca="false">EDATE(Charter!$D$11,$H47-1+$I47)-1</f>
        <v>46721</v>
      </c>
      <c r="L47" s="24" t="s">
        <v>75</v>
      </c>
      <c r="M47" s="24"/>
      <c r="N47" s="24"/>
      <c r="O47" s="24"/>
      <c r="P47" s="25" t="s">
        <v>45</v>
      </c>
      <c r="Q47" s="20" t="s">
        <v>224</v>
      </c>
      <c r="R47" s="26" t="s">
        <v>208</v>
      </c>
    </row>
    <row r="48" customFormat="false" ht="15" hidden="false" customHeight="true" outlineLevel="0" collapsed="false">
      <c r="B48" s="29"/>
      <c r="C48" s="27" t="s">
        <v>225</v>
      </c>
      <c r="D48" s="28" t="s">
        <v>226</v>
      </c>
      <c r="E48" s="20" t="s">
        <v>227</v>
      </c>
      <c r="F48" s="20" t="s">
        <v>79</v>
      </c>
      <c r="G48" s="21" t="s">
        <v>209</v>
      </c>
      <c r="H48" s="22" t="n">
        <v>12</v>
      </c>
      <c r="I48" s="22" t="n">
        <v>1</v>
      </c>
      <c r="J48" s="23" t="n">
        <f aca="false">EDATE(Charter!$D$11,$H48-1)</f>
        <v>46661</v>
      </c>
      <c r="K48" s="23" t="n">
        <f aca="false">EDATE(Charter!$D$11,$H48-1+$I48)-1</f>
        <v>46691</v>
      </c>
      <c r="L48" s="24" t="s">
        <v>75</v>
      </c>
      <c r="M48" s="24" t="s">
        <v>75</v>
      </c>
      <c r="N48" s="24"/>
      <c r="O48" s="24"/>
      <c r="P48" s="25" t="s">
        <v>45</v>
      </c>
      <c r="Q48" s="20" t="s">
        <v>228</v>
      </c>
      <c r="R48" s="26" t="s">
        <v>225</v>
      </c>
    </row>
    <row r="49" customFormat="false" ht="23.85" hidden="false" customHeight="false" outlineLevel="0" collapsed="false">
      <c r="B49" s="29"/>
      <c r="C49" s="27"/>
      <c r="D49" s="28" t="s">
        <v>229</v>
      </c>
      <c r="E49" s="20" t="s">
        <v>230</v>
      </c>
      <c r="F49" s="20" t="s">
        <v>112</v>
      </c>
      <c r="G49" s="21" t="s">
        <v>226</v>
      </c>
      <c r="H49" s="22" t="n">
        <v>13</v>
      </c>
      <c r="I49" s="22" t="n">
        <v>1</v>
      </c>
      <c r="J49" s="23" t="n">
        <f aca="false">EDATE(Charter!$D$11,$H49-1)</f>
        <v>46692</v>
      </c>
      <c r="K49" s="23" t="n">
        <f aca="false">EDATE(Charter!$D$11,$H49-1+$I49)-1</f>
        <v>46721</v>
      </c>
      <c r="L49" s="24" t="s">
        <v>75</v>
      </c>
      <c r="M49" s="24" t="s">
        <v>75</v>
      </c>
      <c r="N49" s="24" t="s">
        <v>75</v>
      </c>
      <c r="O49" s="24"/>
      <c r="P49" s="25" t="s">
        <v>45</v>
      </c>
      <c r="Q49" s="20" t="s">
        <v>231</v>
      </c>
      <c r="R49" s="26" t="s">
        <v>225</v>
      </c>
    </row>
    <row r="50" customFormat="false" ht="23.85" hidden="false" customHeight="false" outlineLevel="0" collapsed="false">
      <c r="B50" s="29"/>
      <c r="C50" s="27"/>
      <c r="D50" s="28" t="s">
        <v>232</v>
      </c>
      <c r="E50" s="20" t="s">
        <v>233</v>
      </c>
      <c r="F50" s="20" t="s">
        <v>112</v>
      </c>
      <c r="G50" s="21" t="s">
        <v>229</v>
      </c>
      <c r="H50" s="22" t="n">
        <v>13</v>
      </c>
      <c r="I50" s="22" t="n">
        <v>1</v>
      </c>
      <c r="J50" s="23" t="n">
        <f aca="false">EDATE(Charter!$D$11,$H50-1)</f>
        <v>46692</v>
      </c>
      <c r="K50" s="23" t="n">
        <f aca="false">EDATE(Charter!$D$11,$H50-1+$I50)-1</f>
        <v>46721</v>
      </c>
      <c r="L50" s="24" t="s">
        <v>75</v>
      </c>
      <c r="M50" s="24"/>
      <c r="N50" s="24"/>
      <c r="O50" s="24"/>
      <c r="P50" s="25" t="s">
        <v>45</v>
      </c>
      <c r="Q50" s="20" t="s">
        <v>234</v>
      </c>
      <c r="R50" s="26" t="s">
        <v>225</v>
      </c>
    </row>
    <row r="51" customFormat="false" ht="15" hidden="false" customHeight="false" outlineLevel="0" collapsed="false">
      <c r="B51" s="29"/>
      <c r="C51" s="27"/>
      <c r="D51" s="28" t="s">
        <v>235</v>
      </c>
      <c r="E51" s="20" t="s">
        <v>236</v>
      </c>
      <c r="F51" s="20" t="s">
        <v>165</v>
      </c>
      <c r="G51" s="21" t="s">
        <v>237</v>
      </c>
      <c r="H51" s="22" t="n">
        <v>14</v>
      </c>
      <c r="I51" s="22" t="n">
        <v>1</v>
      </c>
      <c r="J51" s="23" t="n">
        <f aca="false">EDATE(Charter!$D$11,$H51-1)</f>
        <v>46722</v>
      </c>
      <c r="K51" s="23" t="n">
        <f aca="false">EDATE(Charter!$D$11,$H51-1+$I51)-1</f>
        <v>46752</v>
      </c>
      <c r="L51" s="24" t="s">
        <v>75</v>
      </c>
      <c r="M51" s="24"/>
      <c r="N51" s="24"/>
      <c r="O51" s="24"/>
      <c r="P51" s="25" t="s">
        <v>45</v>
      </c>
      <c r="Q51" s="20" t="s">
        <v>238</v>
      </c>
      <c r="R51" s="26" t="s">
        <v>225</v>
      </c>
    </row>
    <row r="52" customFormat="false" ht="23.85" hidden="false" customHeight="true" outlineLevel="0" collapsed="false">
      <c r="B52" s="29"/>
      <c r="C52" s="18" t="s">
        <v>239</v>
      </c>
      <c r="D52" s="19" t="s">
        <v>240</v>
      </c>
      <c r="E52" s="20" t="s">
        <v>241</v>
      </c>
      <c r="F52" s="20" t="s">
        <v>112</v>
      </c>
      <c r="G52" s="21" t="s">
        <v>110</v>
      </c>
      <c r="H52" s="22" t="n">
        <v>13</v>
      </c>
      <c r="I52" s="22" t="n">
        <v>1</v>
      </c>
      <c r="J52" s="23" t="n">
        <f aca="false">EDATE(Charter!$D$11,$H52-1)</f>
        <v>46692</v>
      </c>
      <c r="K52" s="23" t="n">
        <f aca="false">EDATE(Charter!$D$11,$H52-1+$I52)-1</f>
        <v>46721</v>
      </c>
      <c r="L52" s="24" t="s">
        <v>75</v>
      </c>
      <c r="M52" s="24"/>
      <c r="N52" s="24" t="s">
        <v>75</v>
      </c>
      <c r="O52" s="24"/>
      <c r="P52" s="25" t="s">
        <v>45</v>
      </c>
      <c r="Q52" s="20" t="s">
        <v>242</v>
      </c>
      <c r="R52" s="26" t="s">
        <v>239</v>
      </c>
    </row>
    <row r="53" customFormat="false" ht="23.85" hidden="false" customHeight="false" outlineLevel="0" collapsed="false">
      <c r="B53" s="29"/>
      <c r="C53" s="18"/>
      <c r="D53" s="19" t="s">
        <v>243</v>
      </c>
      <c r="E53" s="20" t="s">
        <v>244</v>
      </c>
      <c r="F53" s="20" t="s">
        <v>112</v>
      </c>
      <c r="G53" s="21" t="s">
        <v>240</v>
      </c>
      <c r="H53" s="22" t="n">
        <v>14</v>
      </c>
      <c r="I53" s="22" t="n">
        <v>1</v>
      </c>
      <c r="J53" s="23" t="n">
        <f aca="false">EDATE(Charter!$D$11,$H53-1)</f>
        <v>46722</v>
      </c>
      <c r="K53" s="23" t="n">
        <f aca="false">EDATE(Charter!$D$11,$H53-1+$I53)-1</f>
        <v>46752</v>
      </c>
      <c r="L53" s="24" t="s">
        <v>75</v>
      </c>
      <c r="M53" s="24"/>
      <c r="N53" s="24"/>
      <c r="O53" s="24"/>
      <c r="P53" s="25" t="s">
        <v>45</v>
      </c>
      <c r="Q53" s="20" t="s">
        <v>245</v>
      </c>
      <c r="R53" s="26" t="s">
        <v>239</v>
      </c>
    </row>
    <row r="54" customFormat="false" ht="23.85" hidden="false" customHeight="false" outlineLevel="0" collapsed="false">
      <c r="B54" s="29"/>
      <c r="C54" s="18"/>
      <c r="D54" s="19" t="s">
        <v>246</v>
      </c>
      <c r="E54" s="20" t="s">
        <v>247</v>
      </c>
      <c r="F54" s="20" t="s">
        <v>112</v>
      </c>
      <c r="G54" s="21" t="s">
        <v>240</v>
      </c>
      <c r="H54" s="22" t="n">
        <v>14</v>
      </c>
      <c r="I54" s="22" t="n">
        <v>1</v>
      </c>
      <c r="J54" s="23" t="n">
        <f aca="false">EDATE(Charter!$D$11,$H54-1)</f>
        <v>46722</v>
      </c>
      <c r="K54" s="23" t="n">
        <f aca="false">EDATE(Charter!$D$11,$H54-1+$I54)-1</f>
        <v>46752</v>
      </c>
      <c r="L54" s="24" t="s">
        <v>75</v>
      </c>
      <c r="M54" s="24"/>
      <c r="N54" s="24"/>
      <c r="O54" s="24"/>
      <c r="P54" s="25" t="s">
        <v>45</v>
      </c>
      <c r="Q54" s="20" t="s">
        <v>248</v>
      </c>
      <c r="R54" s="26" t="s">
        <v>239</v>
      </c>
    </row>
    <row r="55" customFormat="false" ht="15" hidden="false" customHeight="false" outlineLevel="0" collapsed="false">
      <c r="B55" s="29"/>
      <c r="C55" s="18"/>
      <c r="D55" s="19" t="s">
        <v>249</v>
      </c>
      <c r="E55" s="20" t="s">
        <v>250</v>
      </c>
      <c r="F55" s="20" t="s">
        <v>165</v>
      </c>
      <c r="G55" s="21" t="s">
        <v>251</v>
      </c>
      <c r="H55" s="22" t="n">
        <v>15</v>
      </c>
      <c r="I55" s="22" t="n">
        <v>1</v>
      </c>
      <c r="J55" s="23" t="n">
        <f aca="false">EDATE(Charter!$D$11,$H55-1)</f>
        <v>46753</v>
      </c>
      <c r="K55" s="23" t="n">
        <f aca="false">EDATE(Charter!$D$11,$H55-1+$I55)-1</f>
        <v>46783</v>
      </c>
      <c r="L55" s="24" t="s">
        <v>75</v>
      </c>
      <c r="M55" s="24"/>
      <c r="N55" s="24"/>
      <c r="O55" s="24"/>
      <c r="P55" s="25" t="s">
        <v>45</v>
      </c>
      <c r="Q55" s="20" t="s">
        <v>252</v>
      </c>
      <c r="R55" s="26" t="s">
        <v>239</v>
      </c>
    </row>
    <row r="56" customFormat="false" ht="15" hidden="false" customHeight="true" outlineLevel="0" collapsed="false">
      <c r="B56" s="29"/>
      <c r="C56" s="27" t="s">
        <v>253</v>
      </c>
      <c r="D56" s="28" t="s">
        <v>254</v>
      </c>
      <c r="E56" s="20" t="s">
        <v>255</v>
      </c>
      <c r="F56" s="20" t="s">
        <v>90</v>
      </c>
      <c r="G56" s="21" t="s">
        <v>235</v>
      </c>
      <c r="H56" s="22" t="n">
        <v>14</v>
      </c>
      <c r="I56" s="22" t="n">
        <v>1</v>
      </c>
      <c r="J56" s="23" t="n">
        <f aca="false">EDATE(Charter!$D$11,$H56-1)</f>
        <v>46722</v>
      </c>
      <c r="K56" s="23" t="n">
        <f aca="false">EDATE(Charter!$D$11,$H56-1+$I56)-1</f>
        <v>46752</v>
      </c>
      <c r="L56" s="24" t="s">
        <v>75</v>
      </c>
      <c r="M56" s="24" t="s">
        <v>75</v>
      </c>
      <c r="N56" s="24"/>
      <c r="O56" s="24"/>
      <c r="P56" s="25" t="s">
        <v>45</v>
      </c>
      <c r="Q56" s="20" t="s">
        <v>256</v>
      </c>
      <c r="R56" s="26" t="s">
        <v>253</v>
      </c>
    </row>
    <row r="57" customFormat="false" ht="23.85" hidden="false" customHeight="false" outlineLevel="0" collapsed="false">
      <c r="B57" s="29"/>
      <c r="C57" s="27"/>
      <c r="D57" s="28" t="s">
        <v>257</v>
      </c>
      <c r="E57" s="20" t="s">
        <v>258</v>
      </c>
      <c r="F57" s="20" t="s">
        <v>112</v>
      </c>
      <c r="G57" s="21" t="s">
        <v>254</v>
      </c>
      <c r="H57" s="22" t="n">
        <v>15</v>
      </c>
      <c r="I57" s="22" t="n">
        <v>2</v>
      </c>
      <c r="J57" s="23" t="n">
        <f aca="false">EDATE(Charter!$D$11,$H57-1)</f>
        <v>46753</v>
      </c>
      <c r="K57" s="23" t="n">
        <f aca="false">EDATE(Charter!$D$11,$H57-1+$I57)-1</f>
        <v>46812</v>
      </c>
      <c r="L57" s="24" t="s">
        <v>75</v>
      </c>
      <c r="M57" s="24"/>
      <c r="N57" s="24"/>
      <c r="O57" s="24"/>
      <c r="P57" s="25" t="s">
        <v>45</v>
      </c>
      <c r="Q57" s="20" t="s">
        <v>259</v>
      </c>
      <c r="R57" s="26" t="s">
        <v>253</v>
      </c>
    </row>
    <row r="58" customFormat="false" ht="23.85" hidden="false" customHeight="false" outlineLevel="0" collapsed="false">
      <c r="B58" s="29"/>
      <c r="C58" s="27"/>
      <c r="D58" s="28" t="s">
        <v>260</v>
      </c>
      <c r="E58" s="20" t="s">
        <v>261</v>
      </c>
      <c r="F58" s="20" t="s">
        <v>112</v>
      </c>
      <c r="G58" s="21" t="s">
        <v>257</v>
      </c>
      <c r="H58" s="22" t="n">
        <v>16</v>
      </c>
      <c r="I58" s="22" t="n">
        <v>1</v>
      </c>
      <c r="J58" s="23" t="n">
        <f aca="false">EDATE(Charter!$D$11,$H58-1)</f>
        <v>46784</v>
      </c>
      <c r="K58" s="23" t="n">
        <f aca="false">EDATE(Charter!$D$11,$H58-1+$I58)-1</f>
        <v>46812</v>
      </c>
      <c r="L58" s="24" t="s">
        <v>75</v>
      </c>
      <c r="M58" s="24" t="s">
        <v>75</v>
      </c>
      <c r="N58" s="24" t="s">
        <v>75</v>
      </c>
      <c r="O58" s="24"/>
      <c r="P58" s="25" t="s">
        <v>45</v>
      </c>
      <c r="Q58" s="20" t="s">
        <v>262</v>
      </c>
      <c r="R58" s="26" t="s">
        <v>253</v>
      </c>
    </row>
    <row r="59" customFormat="false" ht="23.85" hidden="false" customHeight="false" outlineLevel="0" collapsed="false">
      <c r="B59" s="29"/>
      <c r="C59" s="27"/>
      <c r="D59" s="28" t="s">
        <v>263</v>
      </c>
      <c r="E59" s="20" t="s">
        <v>264</v>
      </c>
      <c r="F59" s="20" t="s">
        <v>112</v>
      </c>
      <c r="G59" s="21" t="s">
        <v>257</v>
      </c>
      <c r="H59" s="22" t="n">
        <v>16</v>
      </c>
      <c r="I59" s="22" t="n">
        <v>1</v>
      </c>
      <c r="J59" s="23" t="n">
        <f aca="false">EDATE(Charter!$D$11,$H59-1)</f>
        <v>46784</v>
      </c>
      <c r="K59" s="23" t="n">
        <f aca="false">EDATE(Charter!$D$11,$H59-1+$I59)-1</f>
        <v>46812</v>
      </c>
      <c r="L59" s="24" t="s">
        <v>75</v>
      </c>
      <c r="M59" s="24"/>
      <c r="N59" s="24"/>
      <c r="O59" s="24"/>
      <c r="P59" s="25" t="s">
        <v>45</v>
      </c>
      <c r="Q59" s="20" t="s">
        <v>265</v>
      </c>
      <c r="R59" s="26" t="s">
        <v>253</v>
      </c>
    </row>
    <row r="60" customFormat="false" ht="23.85" hidden="false" customHeight="false" outlineLevel="0" collapsed="false">
      <c r="B60" s="29"/>
      <c r="C60" s="27"/>
      <c r="D60" s="28" t="s">
        <v>266</v>
      </c>
      <c r="E60" s="20" t="s">
        <v>267</v>
      </c>
      <c r="F60" s="20" t="s">
        <v>165</v>
      </c>
      <c r="G60" s="21" t="s">
        <v>268</v>
      </c>
      <c r="H60" s="22" t="n">
        <v>17</v>
      </c>
      <c r="I60" s="22" t="n">
        <v>1</v>
      </c>
      <c r="J60" s="23" t="n">
        <f aca="false">EDATE(Charter!$D$11,$H60-1)</f>
        <v>46813</v>
      </c>
      <c r="K60" s="23" t="n">
        <f aca="false">EDATE(Charter!$D$11,$H60-1+$I60)-1</f>
        <v>46843</v>
      </c>
      <c r="L60" s="24" t="s">
        <v>75</v>
      </c>
      <c r="M60" s="24"/>
      <c r="N60" s="24"/>
      <c r="O60" s="24"/>
      <c r="P60" s="25" t="s">
        <v>45</v>
      </c>
      <c r="Q60" s="20" t="s">
        <v>269</v>
      </c>
      <c r="R60" s="26" t="s">
        <v>253</v>
      </c>
    </row>
    <row r="61" customFormat="false" ht="15" hidden="false" customHeight="true" outlineLevel="0" collapsed="false">
      <c r="B61" s="29"/>
      <c r="C61" s="18" t="s">
        <v>270</v>
      </c>
      <c r="D61" s="19" t="s">
        <v>271</v>
      </c>
      <c r="E61" s="20" t="s">
        <v>272</v>
      </c>
      <c r="F61" s="20" t="s">
        <v>142</v>
      </c>
      <c r="G61" s="21" t="s">
        <v>257</v>
      </c>
      <c r="H61" s="22" t="n">
        <v>16</v>
      </c>
      <c r="I61" s="22" t="n">
        <v>2</v>
      </c>
      <c r="J61" s="23" t="n">
        <f aca="false">EDATE(Charter!$D$11,$H61-1)</f>
        <v>46784</v>
      </c>
      <c r="K61" s="23" t="n">
        <f aca="false">EDATE(Charter!$D$11,$H61-1+$I61)-1</f>
        <v>46843</v>
      </c>
      <c r="L61" s="24" t="s">
        <v>75</v>
      </c>
      <c r="M61" s="24"/>
      <c r="N61" s="24"/>
      <c r="O61" s="24"/>
      <c r="P61" s="25" t="s">
        <v>45</v>
      </c>
      <c r="Q61" s="20" t="s">
        <v>273</v>
      </c>
      <c r="R61" s="26" t="s">
        <v>270</v>
      </c>
    </row>
    <row r="62" customFormat="false" ht="15" hidden="false" customHeight="false" outlineLevel="0" collapsed="false">
      <c r="B62" s="29"/>
      <c r="C62" s="18"/>
      <c r="D62" s="19" t="s">
        <v>274</v>
      </c>
      <c r="E62" s="20" t="s">
        <v>275</v>
      </c>
      <c r="F62" s="20" t="s">
        <v>129</v>
      </c>
      <c r="G62" s="21" t="s">
        <v>271</v>
      </c>
      <c r="H62" s="22" t="n">
        <v>17</v>
      </c>
      <c r="I62" s="22" t="n">
        <v>2</v>
      </c>
      <c r="J62" s="23" t="n">
        <f aca="false">EDATE(Charter!$D$11,$H62-1)</f>
        <v>46813</v>
      </c>
      <c r="K62" s="23" t="n">
        <f aca="false">EDATE(Charter!$D$11,$H62-1+$I62)-1</f>
        <v>46873</v>
      </c>
      <c r="L62" s="24" t="s">
        <v>75</v>
      </c>
      <c r="M62" s="24"/>
      <c r="N62" s="24"/>
      <c r="O62" s="24"/>
      <c r="P62" s="25" t="s">
        <v>45</v>
      </c>
      <c r="Q62" s="20" t="s">
        <v>276</v>
      </c>
      <c r="R62" s="26" t="s">
        <v>270</v>
      </c>
    </row>
    <row r="63" customFormat="false" ht="15" hidden="false" customHeight="false" outlineLevel="0" collapsed="false">
      <c r="B63" s="29"/>
      <c r="C63" s="18"/>
      <c r="D63" s="19" t="s">
        <v>277</v>
      </c>
      <c r="E63" s="20" t="s">
        <v>278</v>
      </c>
      <c r="F63" s="20" t="s">
        <v>142</v>
      </c>
      <c r="G63" s="21" t="s">
        <v>271</v>
      </c>
      <c r="H63" s="22" t="n">
        <v>18</v>
      </c>
      <c r="I63" s="22" t="n">
        <v>1</v>
      </c>
      <c r="J63" s="23" t="n">
        <f aca="false">EDATE(Charter!$D$11,$H63-1)</f>
        <v>46844</v>
      </c>
      <c r="K63" s="23" t="n">
        <f aca="false">EDATE(Charter!$D$11,$H63-1+$I63)-1</f>
        <v>46873</v>
      </c>
      <c r="L63" s="24" t="s">
        <v>75</v>
      </c>
      <c r="M63" s="24"/>
      <c r="N63" s="24"/>
      <c r="O63" s="24"/>
      <c r="P63" s="25" t="s">
        <v>45</v>
      </c>
      <c r="Q63" s="20" t="s">
        <v>279</v>
      </c>
      <c r="R63" s="26" t="s">
        <v>270</v>
      </c>
    </row>
    <row r="64" customFormat="false" ht="15" hidden="false" customHeight="false" outlineLevel="0" collapsed="false">
      <c r="B64" s="29"/>
      <c r="C64" s="18"/>
      <c r="D64" s="19" t="s">
        <v>280</v>
      </c>
      <c r="E64" s="20" t="s">
        <v>281</v>
      </c>
      <c r="F64" s="20" t="s">
        <v>129</v>
      </c>
      <c r="G64" s="21" t="s">
        <v>274</v>
      </c>
      <c r="H64" s="22" t="n">
        <v>18</v>
      </c>
      <c r="I64" s="22" t="n">
        <v>1</v>
      </c>
      <c r="J64" s="23" t="n">
        <f aca="false">EDATE(Charter!$D$11,$H64-1)</f>
        <v>46844</v>
      </c>
      <c r="K64" s="23" t="n">
        <f aca="false">EDATE(Charter!$D$11,$H64-1+$I64)-1</f>
        <v>46873</v>
      </c>
      <c r="L64" s="24" t="s">
        <v>75</v>
      </c>
      <c r="M64" s="24"/>
      <c r="N64" s="24"/>
      <c r="O64" s="24" t="s">
        <v>75</v>
      </c>
      <c r="P64" s="25" t="s">
        <v>45</v>
      </c>
      <c r="Q64" s="20" t="s">
        <v>282</v>
      </c>
      <c r="R64" s="26" t="s">
        <v>270</v>
      </c>
    </row>
    <row r="65" customFormat="false" ht="15" hidden="false" customHeight="false" outlineLevel="0" collapsed="false">
      <c r="B65" s="29"/>
      <c r="C65" s="18"/>
      <c r="D65" s="19" t="s">
        <v>283</v>
      </c>
      <c r="E65" s="20" t="s">
        <v>284</v>
      </c>
      <c r="F65" s="20" t="s">
        <v>165</v>
      </c>
      <c r="G65" s="21" t="s">
        <v>285</v>
      </c>
      <c r="H65" s="22" t="n">
        <v>19</v>
      </c>
      <c r="I65" s="22" t="n">
        <v>1</v>
      </c>
      <c r="J65" s="23" t="n">
        <f aca="false">EDATE(Charter!$D$11,$H65-1)</f>
        <v>46874</v>
      </c>
      <c r="K65" s="23" t="n">
        <f aca="false">EDATE(Charter!$D$11,$H65-1+$I65)-1</f>
        <v>46904</v>
      </c>
      <c r="L65" s="24" t="s">
        <v>75</v>
      </c>
      <c r="M65" s="24"/>
      <c r="N65" s="24"/>
      <c r="O65" s="24"/>
      <c r="P65" s="25" t="s">
        <v>45</v>
      </c>
      <c r="Q65" s="20" t="s">
        <v>286</v>
      </c>
      <c r="R65" s="26" t="s">
        <v>270</v>
      </c>
    </row>
    <row r="66" customFormat="false" ht="15" hidden="false" customHeight="true" outlineLevel="0" collapsed="false">
      <c r="B66" s="29" t="s">
        <v>287</v>
      </c>
      <c r="C66" s="38" t="s">
        <v>288</v>
      </c>
      <c r="D66" s="39" t="s">
        <v>289</v>
      </c>
      <c r="E66" s="32" t="s">
        <v>290</v>
      </c>
      <c r="F66" s="32" t="s">
        <v>165</v>
      </c>
      <c r="G66" s="33" t="s">
        <v>266</v>
      </c>
      <c r="H66" s="34" t="n">
        <v>17</v>
      </c>
      <c r="I66" s="34" t="n">
        <v>1</v>
      </c>
      <c r="J66" s="35" t="n">
        <f aca="false">EDATE(Charter!$D$11,$H66-1)</f>
        <v>46813</v>
      </c>
      <c r="K66" s="35" t="n">
        <f aca="false">EDATE(Charter!$D$11,$H66-1+$I66)-1</f>
        <v>46843</v>
      </c>
      <c r="L66" s="36" t="s">
        <v>75</v>
      </c>
      <c r="M66" s="36"/>
      <c r="N66" s="36"/>
      <c r="O66" s="36" t="s">
        <v>75</v>
      </c>
      <c r="P66" s="37" t="s">
        <v>45</v>
      </c>
      <c r="Q66" s="32" t="s">
        <v>291</v>
      </c>
      <c r="R66" s="26" t="s">
        <v>288</v>
      </c>
    </row>
    <row r="67" customFormat="false" ht="23.85" hidden="false" customHeight="false" outlineLevel="0" collapsed="false">
      <c r="B67" s="29"/>
      <c r="C67" s="38"/>
      <c r="D67" s="28" t="s">
        <v>292</v>
      </c>
      <c r="E67" s="20" t="s">
        <v>293</v>
      </c>
      <c r="F67" s="20" t="s">
        <v>294</v>
      </c>
      <c r="G67" s="21" t="s">
        <v>295</v>
      </c>
      <c r="H67" s="22" t="n">
        <v>18</v>
      </c>
      <c r="I67" s="22" t="n">
        <v>1</v>
      </c>
      <c r="J67" s="23" t="n">
        <f aca="false">EDATE(Charter!$D$11,$H67-1)</f>
        <v>46844</v>
      </c>
      <c r="K67" s="23" t="n">
        <f aca="false">EDATE(Charter!$D$11,$H67-1+$I67)-1</f>
        <v>46873</v>
      </c>
      <c r="L67" s="24" t="s">
        <v>75</v>
      </c>
      <c r="M67" s="24"/>
      <c r="N67" s="24"/>
      <c r="O67" s="24" t="s">
        <v>75</v>
      </c>
      <c r="P67" s="25" t="s">
        <v>45</v>
      </c>
      <c r="Q67" s="20" t="s">
        <v>296</v>
      </c>
      <c r="R67" s="26" t="s">
        <v>288</v>
      </c>
    </row>
    <row r="68" customFormat="false" ht="15" hidden="false" customHeight="false" outlineLevel="0" collapsed="false">
      <c r="B68" s="29"/>
      <c r="C68" s="38"/>
      <c r="D68" s="28" t="s">
        <v>297</v>
      </c>
      <c r="E68" s="20" t="s">
        <v>298</v>
      </c>
      <c r="F68" s="20" t="s">
        <v>86</v>
      </c>
      <c r="G68" s="21" t="s">
        <v>299</v>
      </c>
      <c r="H68" s="22" t="n">
        <v>20</v>
      </c>
      <c r="I68" s="22" t="n">
        <v>1</v>
      </c>
      <c r="J68" s="23" t="n">
        <f aca="false">EDATE(Charter!$D$11,$H68-1)</f>
        <v>46905</v>
      </c>
      <c r="K68" s="23" t="n">
        <f aca="false">EDATE(Charter!$D$11,$H68-1+$I68)-1</f>
        <v>46934</v>
      </c>
      <c r="L68" s="24" t="s">
        <v>75</v>
      </c>
      <c r="M68" s="24"/>
      <c r="N68" s="24"/>
      <c r="O68" s="24" t="s">
        <v>75</v>
      </c>
      <c r="P68" s="25" t="s">
        <v>45</v>
      </c>
      <c r="Q68" s="20" t="s">
        <v>300</v>
      </c>
      <c r="R68" s="26" t="s">
        <v>288</v>
      </c>
    </row>
    <row r="69" customFormat="false" ht="15" hidden="false" customHeight="false" outlineLevel="0" collapsed="false">
      <c r="B69" s="29"/>
      <c r="C69" s="38"/>
      <c r="D69" s="28" t="s">
        <v>301</v>
      </c>
      <c r="E69" s="20" t="s">
        <v>302</v>
      </c>
      <c r="F69" s="20" t="s">
        <v>86</v>
      </c>
      <c r="G69" s="21" t="s">
        <v>303</v>
      </c>
      <c r="H69" s="22" t="n">
        <v>22</v>
      </c>
      <c r="I69" s="22" t="n">
        <v>1</v>
      </c>
      <c r="J69" s="23" t="n">
        <f aca="false">EDATE(Charter!$D$11,$H69-1)</f>
        <v>46966</v>
      </c>
      <c r="K69" s="23" t="n">
        <f aca="false">EDATE(Charter!$D$11,$H69-1+$I69)-1</f>
        <v>46996</v>
      </c>
      <c r="L69" s="24" t="s">
        <v>75</v>
      </c>
      <c r="M69" s="24"/>
      <c r="N69" s="24"/>
      <c r="O69" s="24" t="s">
        <v>75</v>
      </c>
      <c r="P69" s="25" t="s">
        <v>45</v>
      </c>
      <c r="Q69" s="20" t="s">
        <v>304</v>
      </c>
      <c r="R69" s="26" t="s">
        <v>288</v>
      </c>
    </row>
    <row r="70" customFormat="false" ht="15" hidden="false" customHeight="true" outlineLevel="0" collapsed="false">
      <c r="B70" s="29" t="s">
        <v>305</v>
      </c>
      <c r="C70" s="30" t="s">
        <v>306</v>
      </c>
      <c r="D70" s="31" t="s">
        <v>307</v>
      </c>
      <c r="E70" s="32" t="s">
        <v>308</v>
      </c>
      <c r="F70" s="32" t="s">
        <v>309</v>
      </c>
      <c r="G70" s="33" t="s">
        <v>292</v>
      </c>
      <c r="H70" s="34" t="n">
        <v>19</v>
      </c>
      <c r="I70" s="34" t="n">
        <v>1</v>
      </c>
      <c r="J70" s="35" t="n">
        <f aca="false">EDATE(Charter!$D$11,$H70-1)</f>
        <v>46874</v>
      </c>
      <c r="K70" s="35" t="n">
        <f aca="false">EDATE(Charter!$D$11,$H70-1+$I70)-1</f>
        <v>46904</v>
      </c>
      <c r="L70" s="36" t="s">
        <v>75</v>
      </c>
      <c r="M70" s="36" t="s">
        <v>75</v>
      </c>
      <c r="N70" s="36"/>
      <c r="O70" s="36" t="s">
        <v>75</v>
      </c>
      <c r="P70" s="37" t="s">
        <v>45</v>
      </c>
      <c r="Q70" s="32" t="s">
        <v>310</v>
      </c>
      <c r="R70" s="26" t="s">
        <v>306</v>
      </c>
    </row>
    <row r="71" customFormat="false" ht="23.85" hidden="false" customHeight="false" outlineLevel="0" collapsed="false">
      <c r="B71" s="29"/>
      <c r="C71" s="30"/>
      <c r="D71" s="19" t="s">
        <v>299</v>
      </c>
      <c r="E71" s="20" t="s">
        <v>311</v>
      </c>
      <c r="F71" s="20" t="s">
        <v>7</v>
      </c>
      <c r="G71" s="21" t="s">
        <v>307</v>
      </c>
      <c r="H71" s="22" t="n">
        <v>19</v>
      </c>
      <c r="I71" s="22" t="n">
        <v>1</v>
      </c>
      <c r="J71" s="23" t="n">
        <f aca="false">EDATE(Charter!$D$11,$H71-1)</f>
        <v>46874</v>
      </c>
      <c r="K71" s="23" t="n">
        <f aca="false">EDATE(Charter!$D$11,$H71-1+$I71)-1</f>
        <v>46904</v>
      </c>
      <c r="L71" s="24" t="s">
        <v>75</v>
      </c>
      <c r="M71" s="24"/>
      <c r="N71" s="24"/>
      <c r="O71" s="24" t="s">
        <v>75</v>
      </c>
      <c r="P71" s="25" t="s">
        <v>45</v>
      </c>
      <c r="Q71" s="20" t="s">
        <v>312</v>
      </c>
      <c r="R71" s="26" t="s">
        <v>306</v>
      </c>
    </row>
    <row r="72" customFormat="false" ht="15" hidden="false" customHeight="false" outlineLevel="0" collapsed="false">
      <c r="B72" s="29"/>
      <c r="C72" s="30"/>
      <c r="D72" s="19" t="s">
        <v>313</v>
      </c>
      <c r="E72" s="20" t="s">
        <v>314</v>
      </c>
      <c r="F72" s="20" t="s">
        <v>86</v>
      </c>
      <c r="G72" s="21" t="s">
        <v>297</v>
      </c>
      <c r="H72" s="22" t="n">
        <v>21</v>
      </c>
      <c r="I72" s="22" t="n">
        <v>1</v>
      </c>
      <c r="J72" s="23" t="n">
        <f aca="false">EDATE(Charter!$D$11,$H72-1)</f>
        <v>46935</v>
      </c>
      <c r="K72" s="23" t="n">
        <f aca="false">EDATE(Charter!$D$11,$H72-1+$I72)-1</f>
        <v>46965</v>
      </c>
      <c r="L72" s="24" t="s">
        <v>75</v>
      </c>
      <c r="M72" s="24" t="s">
        <v>75</v>
      </c>
      <c r="N72" s="24"/>
      <c r="O72" s="24" t="s">
        <v>75</v>
      </c>
      <c r="P72" s="25" t="s">
        <v>45</v>
      </c>
      <c r="Q72" s="20" t="s">
        <v>315</v>
      </c>
      <c r="R72" s="26" t="s">
        <v>306</v>
      </c>
    </row>
    <row r="73" customFormat="false" ht="23.85" hidden="false" customHeight="false" outlineLevel="0" collapsed="false">
      <c r="B73" s="29"/>
      <c r="C73" s="30"/>
      <c r="D73" s="19" t="s">
        <v>303</v>
      </c>
      <c r="E73" s="20" t="s">
        <v>316</v>
      </c>
      <c r="F73" s="20" t="s">
        <v>7</v>
      </c>
      <c r="G73" s="21" t="s">
        <v>313</v>
      </c>
      <c r="H73" s="22" t="n">
        <v>21</v>
      </c>
      <c r="I73" s="22" t="n">
        <v>1</v>
      </c>
      <c r="J73" s="23" t="n">
        <f aca="false">EDATE(Charter!$D$11,$H73-1)</f>
        <v>46935</v>
      </c>
      <c r="K73" s="23" t="n">
        <f aca="false">EDATE(Charter!$D$11,$H73-1+$I73)-1</f>
        <v>46965</v>
      </c>
      <c r="L73" s="24" t="s">
        <v>75</v>
      </c>
      <c r="M73" s="24"/>
      <c r="N73" s="24"/>
      <c r="O73" s="24" t="s">
        <v>75</v>
      </c>
      <c r="P73" s="25" t="s">
        <v>45</v>
      </c>
      <c r="Q73" s="20" t="s">
        <v>317</v>
      </c>
      <c r="R73" s="26" t="s">
        <v>306</v>
      </c>
    </row>
    <row r="74" customFormat="false" ht="15" hidden="false" customHeight="false" outlineLevel="0" collapsed="false">
      <c r="B74" s="29"/>
      <c r="C74" s="30"/>
      <c r="D74" s="19" t="s">
        <v>318</v>
      </c>
      <c r="E74" s="20" t="s">
        <v>319</v>
      </c>
      <c r="F74" s="20" t="s">
        <v>86</v>
      </c>
      <c r="G74" s="21" t="s">
        <v>301</v>
      </c>
      <c r="H74" s="22" t="n">
        <v>23</v>
      </c>
      <c r="I74" s="22" t="n">
        <v>1</v>
      </c>
      <c r="J74" s="23" t="n">
        <f aca="false">EDATE(Charter!$D$11,$H74-1)</f>
        <v>46997</v>
      </c>
      <c r="K74" s="23" t="n">
        <f aca="false">EDATE(Charter!$D$11,$H74-1+$I74)-1</f>
        <v>47026</v>
      </c>
      <c r="L74" s="24" t="s">
        <v>75</v>
      </c>
      <c r="M74" s="24" t="s">
        <v>75</v>
      </c>
      <c r="N74" s="24"/>
      <c r="O74" s="24" t="s">
        <v>75</v>
      </c>
      <c r="P74" s="25" t="s">
        <v>45</v>
      </c>
      <c r="Q74" s="20" t="s">
        <v>320</v>
      </c>
      <c r="R74" s="26" t="s">
        <v>306</v>
      </c>
    </row>
    <row r="75" customFormat="false" ht="23.85" hidden="false" customHeight="false" outlineLevel="0" collapsed="false">
      <c r="B75" s="29"/>
      <c r="C75" s="30"/>
      <c r="D75" s="19" t="s">
        <v>321</v>
      </c>
      <c r="E75" s="20" t="s">
        <v>322</v>
      </c>
      <c r="F75" s="20" t="s">
        <v>7</v>
      </c>
      <c r="G75" s="21" t="s">
        <v>318</v>
      </c>
      <c r="H75" s="22" t="n">
        <v>23</v>
      </c>
      <c r="I75" s="22" t="n">
        <v>1</v>
      </c>
      <c r="J75" s="23" t="n">
        <f aca="false">EDATE(Charter!$D$11,$H75-1)</f>
        <v>46997</v>
      </c>
      <c r="K75" s="23" t="n">
        <f aca="false">EDATE(Charter!$D$11,$H75-1+$I75)-1</f>
        <v>47026</v>
      </c>
      <c r="L75" s="24" t="s">
        <v>75</v>
      </c>
      <c r="M75" s="24"/>
      <c r="N75" s="24"/>
      <c r="O75" s="24" t="s">
        <v>75</v>
      </c>
      <c r="P75" s="25" t="s">
        <v>45</v>
      </c>
      <c r="Q75" s="20" t="s">
        <v>323</v>
      </c>
      <c r="R75" s="26" t="s">
        <v>306</v>
      </c>
    </row>
    <row r="76" customFormat="false" ht="23.85" hidden="false" customHeight="false" outlineLevel="0" collapsed="false">
      <c r="B76" s="29"/>
      <c r="C76" s="30"/>
      <c r="D76" s="19" t="s">
        <v>324</v>
      </c>
      <c r="E76" s="20" t="s">
        <v>325</v>
      </c>
      <c r="F76" s="20" t="s">
        <v>7</v>
      </c>
      <c r="G76" s="21" t="s">
        <v>321</v>
      </c>
      <c r="H76" s="22" t="n">
        <v>24</v>
      </c>
      <c r="I76" s="22" t="n">
        <v>1</v>
      </c>
      <c r="J76" s="23" t="n">
        <f aca="false">EDATE(Charter!$D$11,$H76-1)</f>
        <v>47027</v>
      </c>
      <c r="K76" s="23" t="n">
        <f aca="false">EDATE(Charter!$D$11,$H76-1+$I76)-1</f>
        <v>47057</v>
      </c>
      <c r="L76" s="24" t="s">
        <v>75</v>
      </c>
      <c r="M76" s="24" t="s">
        <v>75</v>
      </c>
      <c r="N76" s="24"/>
      <c r="O76" s="24" t="s">
        <v>75</v>
      </c>
      <c r="P76" s="25" t="s">
        <v>45</v>
      </c>
      <c r="Q76" s="20" t="s">
        <v>326</v>
      </c>
      <c r="R76" s="26" t="s">
        <v>306</v>
      </c>
    </row>
    <row r="78" customFormat="false" ht="25.5" hidden="false" customHeight="true" outlineLevel="0" collapsed="false">
      <c r="B78" s="13" t="s">
        <v>327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</sheetData>
  <mergeCells count="22">
    <mergeCell ref="B2:Q2"/>
    <mergeCell ref="B3:Q3"/>
    <mergeCell ref="L5:O5"/>
    <mergeCell ref="B7:B18"/>
    <mergeCell ref="C7:C12"/>
    <mergeCell ref="C13:C18"/>
    <mergeCell ref="B19:B23"/>
    <mergeCell ref="C19:C23"/>
    <mergeCell ref="B24:B65"/>
    <mergeCell ref="C24:C31"/>
    <mergeCell ref="C32:C36"/>
    <mergeCell ref="C37:C42"/>
    <mergeCell ref="C43:C47"/>
    <mergeCell ref="C48:C51"/>
    <mergeCell ref="C52:C55"/>
    <mergeCell ref="C56:C60"/>
    <mergeCell ref="C61:C65"/>
    <mergeCell ref="B66:B69"/>
    <mergeCell ref="C66:C69"/>
    <mergeCell ref="B70:B76"/>
    <mergeCell ref="C70:C76"/>
    <mergeCell ref="B78:Q78"/>
  </mergeCells>
  <conditionalFormatting sqref="P7:P76">
    <cfRule type="expression" priority="2" aboveAverage="0" equalAverage="0" bottom="0" percent="0" rank="0" text="" dxfId="0">
      <formula>$P7="Completed"</formula>
    </cfRule>
    <cfRule type="expression" priority="3" aboveAverage="0" equalAverage="0" bottom="0" percent="0" rank="0" text="" dxfId="1">
      <formula>$P7="In progress"</formula>
    </cfRule>
    <cfRule type="expression" priority="4" aboveAverage="0" equalAverage="0" bottom="0" percent="0" rank="0" text="" dxfId="2">
      <formula>$P7="At risk"</formula>
    </cfRule>
    <cfRule type="expression" priority="5" aboveAverage="0" equalAverage="0" bottom="0" percent="0" rank="0" text="" dxfId="3">
      <formula>$P7="On hold"</formula>
    </cfRule>
    <cfRule type="expression" priority="6" aboveAverage="0" equalAverage="0" bottom="0" percent="0" rank="0" text="" dxfId="4">
      <formula>$P7="Not started"</formula>
    </cfRule>
    <cfRule type="expression" priority="7" aboveAverage="0" equalAverage="0" bottom="0" percent="0" rank="0" text="" dxfId="4">
      <formula>$P7="Not applicable"</formula>
    </cfRule>
  </conditionalFormatting>
  <dataValidations count="1">
    <dataValidation allowBlank="true" error="Please choose one of the listed values." errorStyle="stop" errorTitle="Value not in list" operator="between" showDropDown="false" showErrorMessage="false" showInputMessage="false" sqref="P7:P76" type="list">
      <formula1>"Not started,In progress,Completed,At risk,On hold,Not applicable"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A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28" min="5" style="0" width="5.2"/>
  </cols>
  <sheetData>
    <row r="2" customFormat="false" ht="24" hidden="false" customHeight="true" outlineLevel="0" collapsed="false">
      <c r="B2" s="1" t="s">
        <v>328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customFormat="false" ht="15" hidden="false" customHeight="false" outlineLevel="0" collapsed="false">
      <c r="B3" s="2" t="s">
        <v>329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5" customFormat="false" ht="15" hidden="false" customHeight="false" outlineLevel="0" collapsed="false">
      <c r="E5" s="40" t="s">
        <v>330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 t="s">
        <v>331</v>
      </c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customFormat="false" ht="15" hidden="false" customHeight="false" outlineLevel="0" collapsed="false">
      <c r="E6" s="41" t="s">
        <v>332</v>
      </c>
      <c r="F6" s="41"/>
      <c r="G6" s="41"/>
      <c r="H6" s="41" t="s">
        <v>333</v>
      </c>
      <c r="I6" s="41"/>
      <c r="J6" s="41"/>
      <c r="K6" s="41" t="s">
        <v>334</v>
      </c>
      <c r="L6" s="41"/>
      <c r="M6" s="41"/>
      <c r="N6" s="41" t="s">
        <v>335</v>
      </c>
      <c r="O6" s="41"/>
      <c r="P6" s="41"/>
      <c r="Q6" s="41" t="s">
        <v>332</v>
      </c>
      <c r="R6" s="41"/>
      <c r="S6" s="41"/>
      <c r="T6" s="41" t="s">
        <v>333</v>
      </c>
      <c r="U6" s="41"/>
      <c r="V6" s="41"/>
      <c r="W6" s="41" t="s">
        <v>334</v>
      </c>
      <c r="X6" s="41"/>
      <c r="Y6" s="41"/>
      <c r="Z6" s="41" t="s">
        <v>335</v>
      </c>
      <c r="AA6" s="41"/>
      <c r="AB6" s="41"/>
    </row>
    <row r="7" customFormat="false" ht="43.5" hidden="false" customHeight="true" outlineLevel="0" collapsed="false">
      <c r="B7" s="15" t="s">
        <v>336</v>
      </c>
      <c r="C7" s="15" t="s">
        <v>337</v>
      </c>
      <c r="D7" s="15" t="s">
        <v>338</v>
      </c>
      <c r="E7" s="42" t="n">
        <f aca="false">IF(Charter!$D$11="","",Charter!$D$11)</f>
        <v>46327</v>
      </c>
      <c r="F7" s="42" t="n">
        <f aca="false">IF(E7="","",EDATE(E7,1))</f>
        <v>46357</v>
      </c>
      <c r="G7" s="42" t="n">
        <f aca="false">IF(F7="","",EDATE(F7,1))</f>
        <v>46388</v>
      </c>
      <c r="H7" s="42" t="n">
        <f aca="false">IF(G7="","",EDATE(G7,1))</f>
        <v>46419</v>
      </c>
      <c r="I7" s="42" t="n">
        <f aca="false">IF(H7="","",EDATE(H7,1))</f>
        <v>46447</v>
      </c>
      <c r="J7" s="42" t="n">
        <f aca="false">IF(I7="","",EDATE(I7,1))</f>
        <v>46478</v>
      </c>
      <c r="K7" s="42" t="n">
        <f aca="false">IF(J7="","",EDATE(J7,1))</f>
        <v>46508</v>
      </c>
      <c r="L7" s="42" t="n">
        <f aca="false">IF(K7="","",EDATE(K7,1))</f>
        <v>46539</v>
      </c>
      <c r="M7" s="42" t="n">
        <f aca="false">IF(L7="","",EDATE(L7,1))</f>
        <v>46569</v>
      </c>
      <c r="N7" s="42" t="n">
        <f aca="false">IF(M7="","",EDATE(M7,1))</f>
        <v>46600</v>
      </c>
      <c r="O7" s="42" t="n">
        <f aca="false">IF(N7="","",EDATE(N7,1))</f>
        <v>46631</v>
      </c>
      <c r="P7" s="42" t="n">
        <f aca="false">IF(O7="","",EDATE(O7,1))</f>
        <v>46661</v>
      </c>
      <c r="Q7" s="42" t="n">
        <f aca="false">IF(P7="","",EDATE(P7,1))</f>
        <v>46692</v>
      </c>
      <c r="R7" s="42" t="n">
        <f aca="false">IF(Q7="","",EDATE(Q7,1))</f>
        <v>46722</v>
      </c>
      <c r="S7" s="42" t="n">
        <f aca="false">IF(R7="","",EDATE(R7,1))</f>
        <v>46753</v>
      </c>
      <c r="T7" s="42" t="n">
        <f aca="false">IF(S7="","",EDATE(S7,1))</f>
        <v>46784</v>
      </c>
      <c r="U7" s="42" t="n">
        <f aca="false">IF(T7="","",EDATE(T7,1))</f>
        <v>46813</v>
      </c>
      <c r="V7" s="42" t="n">
        <f aca="false">IF(U7="","",EDATE(U7,1))</f>
        <v>46844</v>
      </c>
      <c r="W7" s="42" t="n">
        <f aca="false">IF(V7="","",EDATE(V7,1))</f>
        <v>46874</v>
      </c>
      <c r="X7" s="42" t="n">
        <f aca="false">IF(W7="","",EDATE(W7,1))</f>
        <v>46905</v>
      </c>
      <c r="Y7" s="42" t="n">
        <f aca="false">IF(X7="","",EDATE(X7,1))</f>
        <v>46935</v>
      </c>
      <c r="Z7" s="42" t="n">
        <f aca="false">IF(Y7="","",EDATE(Y7,1))</f>
        <v>46966</v>
      </c>
      <c r="AA7" s="42" t="n">
        <f aca="false">IF(Z7="","",EDATE(Z7,1))</f>
        <v>46997</v>
      </c>
      <c r="AB7" s="42" t="n">
        <f aca="false">IF(AA7="","",EDATE(AA7,1))</f>
        <v>47027</v>
      </c>
    </row>
    <row r="8" customFormat="false" ht="19.5" hidden="false" customHeight="true" outlineLevel="0" collapsed="false">
      <c r="B8" s="43" t="s">
        <v>71</v>
      </c>
      <c r="C8" s="23" t="n">
        <f aca="false">MIN('Project Plan'!$J$7:$J$12)</f>
        <v>46327</v>
      </c>
      <c r="D8" s="23" t="n">
        <f aca="false">MAX('Project Plan'!$K$7:$K$12)</f>
        <v>46418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customFormat="false" ht="19.5" hidden="false" customHeight="true" outlineLevel="0" collapsed="false">
      <c r="B9" s="4" t="s">
        <v>96</v>
      </c>
      <c r="C9" s="23" t="n">
        <f aca="false">MIN('Project Plan'!$J$13:$J$18)</f>
        <v>46357</v>
      </c>
      <c r="D9" s="23" t="n">
        <f aca="false">MAX('Project Plan'!$K$13:$K$18)</f>
        <v>46446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customFormat="false" ht="19.5" hidden="false" customHeight="true" outlineLevel="0" collapsed="false">
      <c r="B10" s="43" t="s">
        <v>119</v>
      </c>
      <c r="C10" s="23" t="n">
        <f aca="false">MIN('Project Plan'!$J$19:$J$23)</f>
        <v>46419</v>
      </c>
      <c r="D10" s="23" t="n">
        <f aca="false">MAX('Project Plan'!$K$19:$K$23)</f>
        <v>46507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customFormat="false" ht="19.5" hidden="false" customHeight="true" outlineLevel="0" collapsed="false">
      <c r="B11" s="4" t="s">
        <v>139</v>
      </c>
      <c r="C11" s="23" t="n">
        <f aca="false">MIN('Project Plan'!$J$24:$J$31)</f>
        <v>46419</v>
      </c>
      <c r="D11" s="23" t="n">
        <f aca="false">MAX('Project Plan'!$K$24:$K$31)</f>
        <v>46568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customFormat="false" ht="19.5" hidden="false" customHeight="true" outlineLevel="0" collapsed="false">
      <c r="B12" s="43" t="s">
        <v>168</v>
      </c>
      <c r="C12" s="23" t="n">
        <f aca="false">MIN('Project Plan'!$J$32:$J$36)</f>
        <v>46478</v>
      </c>
      <c r="D12" s="23" t="n">
        <f aca="false">MAX('Project Plan'!$K$32:$K$36)</f>
        <v>46599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customFormat="false" ht="19.5" hidden="false" customHeight="true" outlineLevel="0" collapsed="false">
      <c r="B13" s="4" t="s">
        <v>186</v>
      </c>
      <c r="C13" s="23" t="n">
        <f aca="false">MIN('Project Plan'!$J$37:$J$42)</f>
        <v>46539</v>
      </c>
      <c r="D13" s="23" t="n">
        <f aca="false">MAX('Project Plan'!$K$37:$K$42)</f>
        <v>46691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customFormat="false" ht="19.5" hidden="false" customHeight="true" outlineLevel="0" collapsed="false">
      <c r="B14" s="43" t="s">
        <v>208</v>
      </c>
      <c r="C14" s="23" t="n">
        <f aca="false">MIN('Project Plan'!$J$43:$J$47)</f>
        <v>46600</v>
      </c>
      <c r="D14" s="23" t="n">
        <f aca="false">MAX('Project Plan'!$K$43:$K$47)</f>
        <v>46721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customFormat="false" ht="19.5" hidden="false" customHeight="true" outlineLevel="0" collapsed="false">
      <c r="B15" s="4" t="s">
        <v>225</v>
      </c>
      <c r="C15" s="23" t="n">
        <f aca="false">MIN('Project Plan'!$J$48:$J$51)</f>
        <v>46661</v>
      </c>
      <c r="D15" s="23" t="n">
        <f aca="false">MAX('Project Plan'!$K$48:$K$51)</f>
        <v>46752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customFormat="false" ht="19.5" hidden="false" customHeight="true" outlineLevel="0" collapsed="false">
      <c r="B16" s="43" t="s">
        <v>239</v>
      </c>
      <c r="C16" s="23" t="n">
        <f aca="false">MIN('Project Plan'!$J$52:$J$55)</f>
        <v>46692</v>
      </c>
      <c r="D16" s="23" t="n">
        <f aca="false">MAX('Project Plan'!$K$52:$K$55)</f>
        <v>46783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customFormat="false" ht="19.5" hidden="false" customHeight="true" outlineLevel="0" collapsed="false">
      <c r="B17" s="4" t="s">
        <v>253</v>
      </c>
      <c r="C17" s="23" t="n">
        <f aca="false">MIN('Project Plan'!$J$56:$J$60)</f>
        <v>46722</v>
      </c>
      <c r="D17" s="23" t="n">
        <f aca="false">MAX('Project Plan'!$K$56:$K$60)</f>
        <v>46843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customFormat="false" ht="19.5" hidden="false" customHeight="true" outlineLevel="0" collapsed="false">
      <c r="B18" s="43" t="s">
        <v>270</v>
      </c>
      <c r="C18" s="23" t="n">
        <f aca="false">MIN('Project Plan'!$J$61:$J$65)</f>
        <v>46784</v>
      </c>
      <c r="D18" s="23" t="n">
        <f aca="false">MAX('Project Plan'!$K$61:$K$65)</f>
        <v>46904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customFormat="false" ht="19.5" hidden="false" customHeight="true" outlineLevel="0" collapsed="false">
      <c r="B19" s="4" t="s">
        <v>288</v>
      </c>
      <c r="C19" s="23" t="n">
        <f aca="false">MIN('Project Plan'!$J$66:$J$69)</f>
        <v>46813</v>
      </c>
      <c r="D19" s="23" t="n">
        <f aca="false">MAX('Project Plan'!$K$66:$K$69)</f>
        <v>46996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customFormat="false" ht="19.5" hidden="false" customHeight="true" outlineLevel="0" collapsed="false">
      <c r="B20" s="43" t="s">
        <v>306</v>
      </c>
      <c r="C20" s="23" t="n">
        <f aca="false">MIN('Project Plan'!$J$70:$J$76)</f>
        <v>46874</v>
      </c>
      <c r="D20" s="23" t="n">
        <f aca="false">MAX('Project Plan'!$K$70:$K$76)</f>
        <v>47057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customFormat="false" ht="19.5" hidden="false" customHeight="true" outlineLevel="0" collapsed="false">
      <c r="B21" s="3" t="s">
        <v>339</v>
      </c>
      <c r="C21" s="45"/>
      <c r="D21" s="45"/>
      <c r="E21" s="46" t="str">
        <f aca="false">IF(COUNTIFS(Milestones!$F$7:$F$21,"&gt;="&amp;E$7,Milestones!$F$7:$F$21,"&lt;="&amp;EOMONTH(E$7,0))&gt;0,"◆","")</f>
        <v/>
      </c>
      <c r="F21" s="46" t="str">
        <f aca="false">IF(COUNTIFS(Milestones!$F$7:$F$21,"&gt;="&amp;F$7,Milestones!$F$7:$F$21,"&lt;="&amp;EOMONTH(F$7,0))&gt;0,"◆","")</f>
        <v/>
      </c>
      <c r="G21" s="46" t="str">
        <f aca="false">IF(COUNTIFS(Milestones!$F$7:$F$21,"&gt;="&amp;G$7,Milestones!$F$7:$F$21,"&lt;="&amp;EOMONTH(G$7,0))&gt;0,"◆","")</f>
        <v>◆</v>
      </c>
      <c r="H21" s="46" t="str">
        <f aca="false">IF(COUNTIFS(Milestones!$F$7:$F$21,"&gt;="&amp;H$7,Milestones!$F$7:$F$21,"&lt;="&amp;EOMONTH(H$7,0))&gt;0,"◆","")</f>
        <v>◆</v>
      </c>
      <c r="I21" s="46" t="str">
        <f aca="false">IF(COUNTIFS(Milestones!$F$7:$F$21,"&gt;="&amp;I$7,Milestones!$F$7:$F$21,"&lt;="&amp;EOMONTH(I$7,0))&gt;0,"◆","")</f>
        <v/>
      </c>
      <c r="J21" s="46" t="str">
        <f aca="false">IF(COUNTIFS(Milestones!$F$7:$F$21,"&gt;="&amp;J$7,Milestones!$F$7:$F$21,"&lt;="&amp;EOMONTH(J$7,0))&gt;0,"◆","")</f>
        <v>◆</v>
      </c>
      <c r="K21" s="46" t="str">
        <f aca="false">IF(COUNTIFS(Milestones!$F$7:$F$21,"&gt;="&amp;K$7,Milestones!$F$7:$F$21,"&lt;="&amp;EOMONTH(K$7,0))&gt;0,"◆","")</f>
        <v/>
      </c>
      <c r="L21" s="46" t="str">
        <f aca="false">IF(COUNTIFS(Milestones!$F$7:$F$21,"&gt;="&amp;L$7,Milestones!$F$7:$F$21,"&lt;="&amp;EOMONTH(L$7,0))&gt;0,"◆","")</f>
        <v>◆</v>
      </c>
      <c r="M21" s="46" t="str">
        <f aca="false">IF(COUNTIFS(Milestones!$F$7:$F$21,"&gt;="&amp;M$7,Milestones!$F$7:$F$21,"&lt;="&amp;EOMONTH(M$7,0))&gt;0,"◆","")</f>
        <v>◆</v>
      </c>
      <c r="N21" s="46" t="str">
        <f aca="false">IF(COUNTIFS(Milestones!$F$7:$F$21,"&gt;="&amp;N$7,Milestones!$F$7:$F$21,"&lt;="&amp;EOMONTH(N$7,0))&gt;0,"◆","")</f>
        <v/>
      </c>
      <c r="O21" s="46" t="str">
        <f aca="false">IF(COUNTIFS(Milestones!$F$7:$F$21,"&gt;="&amp;O$7,Milestones!$F$7:$F$21,"&lt;="&amp;EOMONTH(O$7,0))&gt;0,"◆","")</f>
        <v/>
      </c>
      <c r="P21" s="46" t="str">
        <f aca="false">IF(COUNTIFS(Milestones!$F$7:$F$21,"&gt;="&amp;P$7,Milestones!$F$7:$F$21,"&lt;="&amp;EOMONTH(P$7,0))&gt;0,"◆","")</f>
        <v>◆</v>
      </c>
      <c r="Q21" s="46" t="str">
        <f aca="false">IF(COUNTIFS(Milestones!$F$7:$F$21,"&gt;="&amp;Q$7,Milestones!$F$7:$F$21,"&lt;="&amp;EOMONTH(Q$7,0))&gt;0,"◆","")</f>
        <v>◆</v>
      </c>
      <c r="R21" s="46" t="str">
        <f aca="false">IF(COUNTIFS(Milestones!$F$7:$F$21,"&gt;="&amp;R$7,Milestones!$F$7:$F$21,"&lt;="&amp;EOMONTH(R$7,0))&gt;0,"◆","")</f>
        <v>◆</v>
      </c>
      <c r="S21" s="46" t="str">
        <f aca="false">IF(COUNTIFS(Milestones!$F$7:$F$21,"&gt;="&amp;S$7,Milestones!$F$7:$F$21,"&lt;="&amp;EOMONTH(S$7,0))&gt;0,"◆","")</f>
        <v>◆</v>
      </c>
      <c r="T21" s="46" t="str">
        <f aca="false">IF(COUNTIFS(Milestones!$F$7:$F$21,"&gt;="&amp;T$7,Milestones!$F$7:$F$21,"&lt;="&amp;EOMONTH(T$7,0))&gt;0,"◆","")</f>
        <v/>
      </c>
      <c r="U21" s="46" t="str">
        <f aca="false">IF(COUNTIFS(Milestones!$F$7:$F$21,"&gt;="&amp;U$7,Milestones!$F$7:$F$21,"&lt;="&amp;EOMONTH(U$7,0))&gt;0,"◆","")</f>
        <v>◆</v>
      </c>
      <c r="V21" s="46" t="str">
        <f aca="false">IF(COUNTIFS(Milestones!$F$7:$F$21,"&gt;="&amp;V$7,Milestones!$F$7:$F$21,"&lt;="&amp;EOMONTH(V$7,0))&gt;0,"◆","")</f>
        <v/>
      </c>
      <c r="W21" s="46" t="str">
        <f aca="false">IF(COUNTIFS(Milestones!$F$7:$F$21,"&gt;="&amp;W$7,Milestones!$F$7:$F$21,"&lt;="&amp;EOMONTH(W$7,0))&gt;0,"◆","")</f>
        <v>◆</v>
      </c>
      <c r="X21" s="46" t="str">
        <f aca="false">IF(COUNTIFS(Milestones!$F$7:$F$21,"&gt;="&amp;X$7,Milestones!$F$7:$F$21,"&lt;="&amp;EOMONTH(X$7,0))&gt;0,"◆","")</f>
        <v/>
      </c>
      <c r="Y21" s="46" t="str">
        <f aca="false">IF(COUNTIFS(Milestones!$F$7:$F$21,"&gt;="&amp;Y$7,Milestones!$F$7:$F$21,"&lt;="&amp;EOMONTH(Y$7,0))&gt;0,"◆","")</f>
        <v>◆</v>
      </c>
      <c r="Z21" s="46" t="str">
        <f aca="false">IF(COUNTIFS(Milestones!$F$7:$F$21,"&gt;="&amp;Z$7,Milestones!$F$7:$F$21,"&lt;="&amp;EOMONTH(Z$7,0))&gt;0,"◆","")</f>
        <v/>
      </c>
      <c r="AA21" s="46" t="str">
        <f aca="false">IF(COUNTIFS(Milestones!$F$7:$F$21,"&gt;="&amp;AA$7,Milestones!$F$7:$F$21,"&lt;="&amp;EOMONTH(AA$7,0))&gt;0,"◆","")</f>
        <v>◆</v>
      </c>
      <c r="AB21" s="46" t="str">
        <f aca="false">IF(COUNTIFS(Milestones!$F$7:$F$21,"&gt;="&amp;AB$7,Milestones!$F$7:$F$21,"&lt;="&amp;EOMONTH(AB$7,0))&gt;0,"◆","")</f>
        <v>◆</v>
      </c>
    </row>
    <row r="23" customFormat="false" ht="15" hidden="false" customHeight="false" outlineLevel="0" collapsed="false">
      <c r="B23" s="3" t="s">
        <v>340</v>
      </c>
      <c r="C23" s="47"/>
      <c r="D23" s="48" t="s">
        <v>341</v>
      </c>
    </row>
    <row r="24" customFormat="false" ht="15" hidden="false" customHeight="false" outlineLevel="0" collapsed="false">
      <c r="C24" s="49" t="s">
        <v>342</v>
      </c>
      <c r="D24" s="48" t="s">
        <v>343</v>
      </c>
    </row>
    <row r="25" customFormat="false" ht="15" hidden="false" customHeight="false" outlineLevel="0" collapsed="false">
      <c r="C25" s="50"/>
      <c r="D25" s="48" t="s">
        <v>344</v>
      </c>
    </row>
  </sheetData>
  <mergeCells count="12">
    <mergeCell ref="B2:AB2"/>
    <mergeCell ref="B3:AB3"/>
    <mergeCell ref="E5:P5"/>
    <mergeCell ref="Q5:AB5"/>
    <mergeCell ref="E6:G6"/>
    <mergeCell ref="H6:J6"/>
    <mergeCell ref="K6:M6"/>
    <mergeCell ref="N6:P6"/>
    <mergeCell ref="Q6:S6"/>
    <mergeCell ref="T6:V6"/>
    <mergeCell ref="W6:Y6"/>
    <mergeCell ref="Z6:AB6"/>
  </mergeCells>
  <conditionalFormatting sqref="E8:AB20">
    <cfRule type="expression" priority="2" aboveAverage="0" equalAverage="0" bottom="0" percent="0" rank="0" text="" dxfId="5">
      <formula>AND($C8&lt;&gt;"",$D8&lt;&gt;"",E$7&lt;&gt;"",E$7&lt;=$D8,EOMONTH(E$7,0)&gt;=$C8)</formula>
    </cfRule>
  </conditionalFormatting>
  <conditionalFormatting sqref="E8:AB21">
    <cfRule type="expression" priority="3" aboveAverage="0" equalAverage="0" bottom="0" percent="0" rank="0" text="" dxfId="6">
      <formula>AND(E$7&lt;&gt;"",E$7&lt;=TODAY(),EOMONTH(E$7,0)&gt;=TODAY())</formula>
    </cfRule>
  </conditionalFormatting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52"/>
  </cols>
  <sheetData>
    <row r="2" customFormat="false" ht="24" hidden="false" customHeight="true" outlineLevel="0" collapsed="false">
      <c r="B2" s="1" t="s">
        <v>345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346</v>
      </c>
      <c r="C3" s="2"/>
      <c r="D3" s="2"/>
      <c r="E3" s="2"/>
      <c r="F3" s="2"/>
      <c r="G3" s="2"/>
      <c r="H3" s="2"/>
      <c r="I3" s="2"/>
      <c r="J3" s="2"/>
    </row>
    <row r="6" customFormat="false" ht="31.5" hidden="false" customHeight="true" outlineLevel="0" collapsed="false">
      <c r="B6" s="15" t="s">
        <v>347</v>
      </c>
      <c r="C6" s="15" t="s">
        <v>53</v>
      </c>
      <c r="D6" s="15" t="s">
        <v>336</v>
      </c>
      <c r="E6" s="15" t="s">
        <v>348</v>
      </c>
      <c r="F6" s="15" t="s">
        <v>349</v>
      </c>
      <c r="G6" s="15" t="s">
        <v>350</v>
      </c>
      <c r="H6" s="15" t="s">
        <v>67</v>
      </c>
      <c r="I6" s="15" t="s">
        <v>351</v>
      </c>
    </row>
    <row r="7" customFormat="false" ht="23.85" hidden="false" customHeight="false" outlineLevel="0" collapsed="false">
      <c r="B7" s="14" t="s">
        <v>352</v>
      </c>
      <c r="C7" s="51" t="s">
        <v>353</v>
      </c>
      <c r="D7" s="51" t="s">
        <v>71</v>
      </c>
      <c r="E7" s="19" t="s">
        <v>354</v>
      </c>
      <c r="F7" s="52" t="n">
        <f aca="false">EDATE(Charter!$D$11,3)-1</f>
        <v>46418</v>
      </c>
      <c r="G7" s="51" t="s">
        <v>7</v>
      </c>
      <c r="H7" s="25" t="s">
        <v>45</v>
      </c>
      <c r="I7" s="51" t="s">
        <v>355</v>
      </c>
    </row>
    <row r="8" customFormat="false" ht="23.85" hidden="false" customHeight="false" outlineLevel="0" collapsed="false">
      <c r="B8" s="53" t="s">
        <v>356</v>
      </c>
      <c r="C8" s="20" t="s">
        <v>357</v>
      </c>
      <c r="D8" s="20" t="s">
        <v>96</v>
      </c>
      <c r="E8" s="21" t="s">
        <v>358</v>
      </c>
      <c r="F8" s="54" t="n">
        <f aca="false">EDATE(Charter!$D$11,4)-1</f>
        <v>46446</v>
      </c>
      <c r="G8" s="20" t="s">
        <v>90</v>
      </c>
      <c r="H8" s="25" t="s">
        <v>45</v>
      </c>
      <c r="I8" s="20" t="s">
        <v>359</v>
      </c>
    </row>
    <row r="9" customFormat="false" ht="23.85" hidden="false" customHeight="false" outlineLevel="0" collapsed="false">
      <c r="B9" s="14" t="s">
        <v>360</v>
      </c>
      <c r="C9" s="51" t="s">
        <v>361</v>
      </c>
      <c r="D9" s="51" t="s">
        <v>119</v>
      </c>
      <c r="E9" s="19" t="s">
        <v>362</v>
      </c>
      <c r="F9" s="52" t="n">
        <f aca="false">EDATE(Charter!$D$11,6)-1</f>
        <v>46507</v>
      </c>
      <c r="G9" s="51" t="s">
        <v>7</v>
      </c>
      <c r="H9" s="25" t="s">
        <v>45</v>
      </c>
      <c r="I9" s="51" t="s">
        <v>363</v>
      </c>
    </row>
    <row r="10" customFormat="false" ht="23.85" hidden="false" customHeight="false" outlineLevel="0" collapsed="false">
      <c r="B10" s="53" t="s">
        <v>364</v>
      </c>
      <c r="C10" s="20" t="s">
        <v>167</v>
      </c>
      <c r="D10" s="20" t="s">
        <v>139</v>
      </c>
      <c r="E10" s="21" t="s">
        <v>365</v>
      </c>
      <c r="F10" s="54" t="n">
        <f aca="false">EDATE(Charter!$D$11,8)-1</f>
        <v>46568</v>
      </c>
      <c r="G10" s="20" t="s">
        <v>102</v>
      </c>
      <c r="H10" s="25" t="s">
        <v>45</v>
      </c>
      <c r="I10" s="20" t="s">
        <v>366</v>
      </c>
    </row>
    <row r="11" customFormat="false" ht="23.85" hidden="false" customHeight="false" outlineLevel="0" collapsed="false">
      <c r="B11" s="14" t="s">
        <v>367</v>
      </c>
      <c r="C11" s="51" t="s">
        <v>368</v>
      </c>
      <c r="D11" s="51" t="s">
        <v>168</v>
      </c>
      <c r="E11" s="19" t="s">
        <v>369</v>
      </c>
      <c r="F11" s="52" t="n">
        <f aca="false">EDATE(Charter!$D$11,9)-1</f>
        <v>46599</v>
      </c>
      <c r="G11" s="51" t="s">
        <v>165</v>
      </c>
      <c r="H11" s="25" t="s">
        <v>45</v>
      </c>
      <c r="I11" s="51" t="s">
        <v>370</v>
      </c>
    </row>
    <row r="12" customFormat="false" ht="23.85" hidden="false" customHeight="false" outlineLevel="0" collapsed="false">
      <c r="B12" s="53" t="s">
        <v>371</v>
      </c>
      <c r="C12" s="20" t="s">
        <v>372</v>
      </c>
      <c r="D12" s="20" t="s">
        <v>186</v>
      </c>
      <c r="E12" s="21" t="s">
        <v>373</v>
      </c>
      <c r="F12" s="54" t="n">
        <f aca="false">EDATE(Charter!$D$11,12)-1</f>
        <v>46691</v>
      </c>
      <c r="G12" s="20" t="s">
        <v>90</v>
      </c>
      <c r="H12" s="25" t="s">
        <v>45</v>
      </c>
      <c r="I12" s="20" t="s">
        <v>374</v>
      </c>
    </row>
    <row r="13" customFormat="false" ht="23.85" hidden="false" customHeight="false" outlineLevel="0" collapsed="false">
      <c r="B13" s="14" t="s">
        <v>375</v>
      </c>
      <c r="C13" s="51" t="s">
        <v>224</v>
      </c>
      <c r="D13" s="51" t="s">
        <v>208</v>
      </c>
      <c r="E13" s="19" t="s">
        <v>376</v>
      </c>
      <c r="F13" s="52" t="n">
        <f aca="false">EDATE(Charter!$D$11,13)-1</f>
        <v>46721</v>
      </c>
      <c r="G13" s="51" t="s">
        <v>165</v>
      </c>
      <c r="H13" s="25" t="s">
        <v>45</v>
      </c>
      <c r="I13" s="51" t="s">
        <v>377</v>
      </c>
    </row>
    <row r="14" customFormat="false" ht="15" hidden="false" customHeight="false" outlineLevel="0" collapsed="false">
      <c r="B14" s="53" t="s">
        <v>378</v>
      </c>
      <c r="C14" s="20" t="s">
        <v>238</v>
      </c>
      <c r="D14" s="20" t="s">
        <v>225</v>
      </c>
      <c r="E14" s="21" t="s">
        <v>379</v>
      </c>
      <c r="F14" s="54" t="n">
        <f aca="false">EDATE(Charter!$D$11,14)-1</f>
        <v>46752</v>
      </c>
      <c r="G14" s="20" t="s">
        <v>165</v>
      </c>
      <c r="H14" s="25" t="s">
        <v>45</v>
      </c>
      <c r="I14" s="20" t="s">
        <v>380</v>
      </c>
    </row>
    <row r="15" customFormat="false" ht="23.85" hidden="false" customHeight="false" outlineLevel="0" collapsed="false">
      <c r="B15" s="14" t="s">
        <v>381</v>
      </c>
      <c r="C15" s="51" t="s">
        <v>382</v>
      </c>
      <c r="D15" s="51" t="s">
        <v>239</v>
      </c>
      <c r="E15" s="19" t="s">
        <v>383</v>
      </c>
      <c r="F15" s="52" t="n">
        <f aca="false">EDATE(Charter!$D$11,15)-1</f>
        <v>46783</v>
      </c>
      <c r="G15" s="51" t="s">
        <v>165</v>
      </c>
      <c r="H15" s="25" t="s">
        <v>45</v>
      </c>
      <c r="I15" s="51" t="s">
        <v>384</v>
      </c>
    </row>
    <row r="16" customFormat="false" ht="23.85" hidden="false" customHeight="false" outlineLevel="0" collapsed="false">
      <c r="B16" s="53" t="s">
        <v>385</v>
      </c>
      <c r="C16" s="20" t="s">
        <v>269</v>
      </c>
      <c r="D16" s="20" t="s">
        <v>253</v>
      </c>
      <c r="E16" s="21" t="s">
        <v>386</v>
      </c>
      <c r="F16" s="54" t="n">
        <f aca="false">EDATE(Charter!$D$11,17)-1</f>
        <v>46843</v>
      </c>
      <c r="G16" s="20" t="s">
        <v>90</v>
      </c>
      <c r="H16" s="25" t="s">
        <v>45</v>
      </c>
      <c r="I16" s="20" t="s">
        <v>387</v>
      </c>
    </row>
    <row r="17" customFormat="false" ht="23.85" hidden="false" customHeight="false" outlineLevel="0" collapsed="false">
      <c r="B17" s="14" t="s">
        <v>388</v>
      </c>
      <c r="C17" s="51" t="s">
        <v>389</v>
      </c>
      <c r="D17" s="51" t="s">
        <v>270</v>
      </c>
      <c r="E17" s="19" t="s">
        <v>390</v>
      </c>
      <c r="F17" s="52" t="n">
        <f aca="false">EDATE(Charter!$D$11,19)-1</f>
        <v>46904</v>
      </c>
      <c r="G17" s="51" t="s">
        <v>165</v>
      </c>
      <c r="H17" s="25" t="s">
        <v>45</v>
      </c>
      <c r="I17" s="51" t="s">
        <v>391</v>
      </c>
    </row>
    <row r="18" customFormat="false" ht="15" hidden="false" customHeight="false" outlineLevel="0" collapsed="false">
      <c r="B18" s="53" t="s">
        <v>392</v>
      </c>
      <c r="C18" s="20" t="s">
        <v>308</v>
      </c>
      <c r="D18" s="20" t="s">
        <v>306</v>
      </c>
      <c r="E18" s="21" t="s">
        <v>390</v>
      </c>
      <c r="F18" s="54" t="n">
        <f aca="false">EDATE(Charter!$D$11,19)-1</f>
        <v>46904</v>
      </c>
      <c r="G18" s="20" t="s">
        <v>309</v>
      </c>
      <c r="H18" s="25" t="s">
        <v>45</v>
      </c>
      <c r="I18" s="20" t="s">
        <v>393</v>
      </c>
    </row>
    <row r="19" customFormat="false" ht="15" hidden="false" customHeight="false" outlineLevel="0" collapsed="false">
      <c r="B19" s="14" t="s">
        <v>394</v>
      </c>
      <c r="C19" s="51" t="s">
        <v>314</v>
      </c>
      <c r="D19" s="51" t="s">
        <v>306</v>
      </c>
      <c r="E19" s="19" t="s">
        <v>395</v>
      </c>
      <c r="F19" s="52" t="n">
        <f aca="false">EDATE(Charter!$D$11,21)-1</f>
        <v>46965</v>
      </c>
      <c r="G19" s="51" t="s">
        <v>86</v>
      </c>
      <c r="H19" s="25" t="s">
        <v>45</v>
      </c>
      <c r="I19" s="51" t="s">
        <v>396</v>
      </c>
    </row>
    <row r="20" customFormat="false" ht="23.85" hidden="false" customHeight="false" outlineLevel="0" collapsed="false">
      <c r="B20" s="53" t="s">
        <v>397</v>
      </c>
      <c r="C20" s="20" t="s">
        <v>319</v>
      </c>
      <c r="D20" s="20" t="s">
        <v>306</v>
      </c>
      <c r="E20" s="21" t="s">
        <v>398</v>
      </c>
      <c r="F20" s="54" t="n">
        <f aca="false">EDATE(Charter!$D$11,23)-1</f>
        <v>47026</v>
      </c>
      <c r="G20" s="20" t="s">
        <v>86</v>
      </c>
      <c r="H20" s="25" t="s">
        <v>45</v>
      </c>
      <c r="I20" s="20" t="s">
        <v>399</v>
      </c>
    </row>
    <row r="21" customFormat="false" ht="23.85" hidden="false" customHeight="false" outlineLevel="0" collapsed="false">
      <c r="B21" s="14" t="s">
        <v>400</v>
      </c>
      <c r="C21" s="51" t="s">
        <v>401</v>
      </c>
      <c r="D21" s="51" t="s">
        <v>306</v>
      </c>
      <c r="E21" s="19" t="s">
        <v>402</v>
      </c>
      <c r="F21" s="52" t="n">
        <f aca="false">EDATE(Charter!$D$11,24)-1</f>
        <v>47057</v>
      </c>
      <c r="G21" s="51" t="s">
        <v>7</v>
      </c>
      <c r="H21" s="25" t="s">
        <v>45</v>
      </c>
      <c r="I21" s="51" t="s">
        <v>403</v>
      </c>
    </row>
  </sheetData>
  <mergeCells count="2">
    <mergeCell ref="B2:J2"/>
    <mergeCell ref="B3:J3"/>
  </mergeCells>
  <conditionalFormatting sqref="H7:H21">
    <cfRule type="expression" priority="2" aboveAverage="0" equalAverage="0" bottom="0" percent="0" rank="0" text="" dxfId="0">
      <formula>$H7="Completed"</formula>
    </cfRule>
    <cfRule type="expression" priority="3" aboveAverage="0" equalAverage="0" bottom="0" percent="0" rank="0" text="" dxfId="1">
      <formula>$H7="In progress"</formula>
    </cfRule>
    <cfRule type="expression" priority="4" aboveAverage="0" equalAverage="0" bottom="0" percent="0" rank="0" text="" dxfId="2">
      <formula>$H7="At risk"</formula>
    </cfRule>
    <cfRule type="expression" priority="5" aboveAverage="0" equalAverage="0" bottom="0" percent="0" rank="0" text="" dxfId="3">
      <formula>$H7="On hold"</formula>
    </cfRule>
    <cfRule type="expression" priority="6" aboveAverage="0" equalAverage="0" bottom="0" percent="0" rank="0" text="" dxfId="4">
      <formula>$H7="Not started"</formula>
    </cfRule>
    <cfRule type="expression" priority="7" aboveAverage="0" equalAverage="0" bottom="0" percent="0" rank="0" text="" dxfId="4">
      <formula>$H7="Not applicable"</formula>
    </cfRule>
  </conditionalFormatting>
  <dataValidations count="1">
    <dataValidation allowBlank="true" error="Please choose one of the listed values." errorStyle="stop" errorTitle="Value not in list" operator="between" showDropDown="false" showErrorMessage="false" showInputMessage="false" sqref="H7:H21" type="list">
      <formula1>"Not started,In progress,Completed,At risk,On hold,Not applicable"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2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52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50"/>
    <col collapsed="false" customWidth="true" hidden="false" outlineLevel="0" max="10" min="10" style="0" width="20"/>
    <col collapsed="false" customWidth="true" hidden="false" outlineLevel="0" max="11" min="11" style="0" width="12"/>
  </cols>
  <sheetData>
    <row r="2" customFormat="false" ht="24" hidden="false" customHeight="true" outlineLevel="0" collapsed="false">
      <c r="B2" s="1" t="s">
        <v>404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405</v>
      </c>
      <c r="C3" s="2"/>
      <c r="D3" s="2"/>
      <c r="E3" s="2"/>
      <c r="F3" s="2"/>
      <c r="G3" s="2"/>
      <c r="H3" s="2"/>
      <c r="I3" s="2"/>
      <c r="J3" s="2"/>
      <c r="K3" s="2"/>
    </row>
    <row r="7" customFormat="false" ht="27.75" hidden="false" customHeight="true" outlineLevel="0" collapsed="false">
      <c r="B7" s="15" t="s">
        <v>347</v>
      </c>
      <c r="C7" s="15" t="s">
        <v>406</v>
      </c>
      <c r="D7" s="15" t="s">
        <v>407</v>
      </c>
      <c r="E7" s="15" t="s">
        <v>408</v>
      </c>
      <c r="F7" s="15" t="s">
        <v>409</v>
      </c>
      <c r="G7" s="15" t="s">
        <v>410</v>
      </c>
      <c r="H7" s="15" t="s">
        <v>411</v>
      </c>
      <c r="I7" s="15" t="s">
        <v>412</v>
      </c>
      <c r="J7" s="15" t="s">
        <v>350</v>
      </c>
      <c r="K7" s="15" t="s">
        <v>67</v>
      </c>
    </row>
    <row r="8" customFormat="false" ht="30" hidden="false" customHeight="true" outlineLevel="0" collapsed="false">
      <c r="B8" s="14" t="s">
        <v>413</v>
      </c>
      <c r="C8" s="51" t="s">
        <v>414</v>
      </c>
      <c r="D8" s="51" t="s">
        <v>415</v>
      </c>
      <c r="E8" s="22" t="n">
        <v>5</v>
      </c>
      <c r="F8" s="22" t="n">
        <v>5</v>
      </c>
      <c r="G8" s="55" t="n">
        <f aca="false">IF(OR($E8="",$F8=""),"",$E8*$F8)</f>
        <v>25</v>
      </c>
      <c r="H8" s="56" t="str">
        <f aca="false">IF($G8="","",IF($G8&gt;=15,"High",IF($G8&gt;=8,"Medium","Low")))</f>
        <v>High</v>
      </c>
      <c r="I8" s="51" t="s">
        <v>416</v>
      </c>
      <c r="J8" s="51" t="s">
        <v>102</v>
      </c>
      <c r="K8" s="21" t="s">
        <v>417</v>
      </c>
    </row>
    <row r="9" customFormat="false" ht="30" hidden="false" customHeight="true" outlineLevel="0" collapsed="false">
      <c r="B9" s="53" t="s">
        <v>418</v>
      </c>
      <c r="C9" s="20" t="s">
        <v>419</v>
      </c>
      <c r="D9" s="20" t="s">
        <v>420</v>
      </c>
      <c r="E9" s="22" t="n">
        <v>4</v>
      </c>
      <c r="F9" s="22" t="n">
        <v>3</v>
      </c>
      <c r="G9" s="55" t="n">
        <f aca="false">IF(OR($E9="",$F9=""),"",$E9*$F9)</f>
        <v>12</v>
      </c>
      <c r="H9" s="56" t="str">
        <f aca="false">IF($G9="","",IF($G9&gt;=15,"High",IF($G9&gt;=8,"Medium","Low")))</f>
        <v>Medium</v>
      </c>
      <c r="I9" s="20" t="s">
        <v>421</v>
      </c>
      <c r="J9" s="20" t="s">
        <v>112</v>
      </c>
      <c r="K9" s="21" t="s">
        <v>417</v>
      </c>
    </row>
    <row r="10" customFormat="false" ht="30" hidden="false" customHeight="true" outlineLevel="0" collapsed="false">
      <c r="B10" s="14" t="s">
        <v>422</v>
      </c>
      <c r="C10" s="51" t="s">
        <v>423</v>
      </c>
      <c r="D10" s="51" t="s">
        <v>424</v>
      </c>
      <c r="E10" s="22" t="n">
        <v>4</v>
      </c>
      <c r="F10" s="22" t="n">
        <v>4</v>
      </c>
      <c r="G10" s="55" t="n">
        <f aca="false">IF(OR($E10="",$F10=""),"",$E10*$F10)</f>
        <v>16</v>
      </c>
      <c r="H10" s="56" t="str">
        <f aca="false">IF($G10="","",IF($G10&gt;=15,"High",IF($G10&gt;=8,"Medium","Low")))</f>
        <v>High</v>
      </c>
      <c r="I10" s="51" t="s">
        <v>425</v>
      </c>
      <c r="J10" s="51" t="s">
        <v>171</v>
      </c>
      <c r="K10" s="21" t="s">
        <v>417</v>
      </c>
    </row>
    <row r="11" customFormat="false" ht="30" hidden="false" customHeight="true" outlineLevel="0" collapsed="false">
      <c r="B11" s="53" t="s">
        <v>426</v>
      </c>
      <c r="C11" s="20" t="s">
        <v>427</v>
      </c>
      <c r="D11" s="20" t="s">
        <v>428</v>
      </c>
      <c r="E11" s="22" t="n">
        <v>3</v>
      </c>
      <c r="F11" s="22" t="n">
        <v>5</v>
      </c>
      <c r="G11" s="55" t="n">
        <f aca="false">IF(OR($E11="",$F11=""),"",$E11*$F11)</f>
        <v>15</v>
      </c>
      <c r="H11" s="56" t="str">
        <f aca="false">IF($G11="","",IF($G11&gt;=15,"High",IF($G11&gt;=8,"Medium","Low")))</f>
        <v>High</v>
      </c>
      <c r="I11" s="20" t="s">
        <v>429</v>
      </c>
      <c r="J11" s="20" t="s">
        <v>129</v>
      </c>
      <c r="K11" s="21" t="s">
        <v>417</v>
      </c>
    </row>
    <row r="12" customFormat="false" ht="30" hidden="false" customHeight="true" outlineLevel="0" collapsed="false">
      <c r="B12" s="14" t="s">
        <v>430</v>
      </c>
      <c r="C12" s="51" t="s">
        <v>431</v>
      </c>
      <c r="D12" s="51" t="s">
        <v>432</v>
      </c>
      <c r="E12" s="22" t="n">
        <v>4</v>
      </c>
      <c r="F12" s="22" t="n">
        <v>3</v>
      </c>
      <c r="G12" s="55" t="n">
        <f aca="false">IF(OR($E12="",$F12=""),"",$E12*$F12)</f>
        <v>12</v>
      </c>
      <c r="H12" s="56" t="str">
        <f aca="false">IF($G12="","",IF($G12&gt;=15,"High",IF($G12&gt;=8,"Medium","Low")))</f>
        <v>Medium</v>
      </c>
      <c r="I12" s="51" t="s">
        <v>433</v>
      </c>
      <c r="J12" s="51" t="s">
        <v>7</v>
      </c>
      <c r="K12" s="21" t="s">
        <v>417</v>
      </c>
    </row>
    <row r="13" customFormat="false" ht="30" hidden="false" customHeight="true" outlineLevel="0" collapsed="false">
      <c r="B13" s="53" t="s">
        <v>434</v>
      </c>
      <c r="C13" s="20" t="s">
        <v>435</v>
      </c>
      <c r="D13" s="20" t="s">
        <v>436</v>
      </c>
      <c r="E13" s="22" t="n">
        <v>4</v>
      </c>
      <c r="F13" s="22" t="n">
        <v>4</v>
      </c>
      <c r="G13" s="55" t="n">
        <f aca="false">IF(OR($E13="",$F13=""),"",$E13*$F13)</f>
        <v>16</v>
      </c>
      <c r="H13" s="56" t="str">
        <f aca="false">IF($G13="","",IF($G13&gt;=15,"High",IF($G13&gt;=8,"Medium","Low")))</f>
        <v>High</v>
      </c>
      <c r="I13" s="20" t="s">
        <v>437</v>
      </c>
      <c r="J13" s="20" t="s">
        <v>7</v>
      </c>
      <c r="K13" s="21" t="s">
        <v>417</v>
      </c>
    </row>
    <row r="14" customFormat="false" ht="30" hidden="false" customHeight="true" outlineLevel="0" collapsed="false">
      <c r="B14" s="14" t="s">
        <v>438</v>
      </c>
      <c r="C14" s="51" t="s">
        <v>439</v>
      </c>
      <c r="D14" s="51" t="s">
        <v>440</v>
      </c>
      <c r="E14" s="22" t="n">
        <v>3</v>
      </c>
      <c r="F14" s="22" t="n">
        <v>4</v>
      </c>
      <c r="G14" s="55" t="n">
        <f aca="false">IF(OR($E14="",$F14=""),"",$E14*$F14)</f>
        <v>12</v>
      </c>
      <c r="H14" s="56" t="str">
        <f aca="false">IF($G14="","",IF($G14&gt;=15,"High",IF($G14&gt;=8,"Medium","Low")))</f>
        <v>Medium</v>
      </c>
      <c r="I14" s="51" t="s">
        <v>441</v>
      </c>
      <c r="J14" s="51" t="s">
        <v>102</v>
      </c>
      <c r="K14" s="21" t="s">
        <v>417</v>
      </c>
    </row>
    <row r="15" customFormat="false" ht="30" hidden="false" customHeight="true" outlineLevel="0" collapsed="false">
      <c r="B15" s="53" t="s">
        <v>442</v>
      </c>
      <c r="C15" s="20" t="s">
        <v>443</v>
      </c>
      <c r="D15" s="20" t="s">
        <v>444</v>
      </c>
      <c r="E15" s="22" t="n">
        <v>4</v>
      </c>
      <c r="F15" s="22" t="n">
        <v>4</v>
      </c>
      <c r="G15" s="55" t="n">
        <f aca="false">IF(OR($E15="",$F15=""),"",$E15*$F15)</f>
        <v>16</v>
      </c>
      <c r="H15" s="56" t="str">
        <f aca="false">IF($G15="","",IF($G15&gt;=15,"High",IF($G15&gt;=8,"Medium","Low")))</f>
        <v>High</v>
      </c>
      <c r="I15" s="20" t="s">
        <v>445</v>
      </c>
      <c r="J15" s="20" t="s">
        <v>7</v>
      </c>
      <c r="K15" s="21" t="s">
        <v>417</v>
      </c>
    </row>
    <row r="16" customFormat="false" ht="30" hidden="false" customHeight="true" outlineLevel="0" collapsed="false">
      <c r="B16" s="14" t="s">
        <v>446</v>
      </c>
      <c r="C16" s="51" t="s">
        <v>447</v>
      </c>
      <c r="D16" s="51" t="s">
        <v>448</v>
      </c>
      <c r="E16" s="22" t="n">
        <v>3</v>
      </c>
      <c r="F16" s="22" t="n">
        <v>3</v>
      </c>
      <c r="G16" s="55" t="n">
        <f aca="false">IF(OR($E16="",$F16=""),"",$E16*$F16)</f>
        <v>9</v>
      </c>
      <c r="H16" s="56" t="str">
        <f aca="false">IF($G16="","",IF($G16&gt;=15,"High",IF($G16&gt;=8,"Medium","Low")))</f>
        <v>Medium</v>
      </c>
      <c r="I16" s="51" t="s">
        <v>449</v>
      </c>
      <c r="J16" s="51" t="s">
        <v>90</v>
      </c>
      <c r="K16" s="21" t="s">
        <v>417</v>
      </c>
    </row>
    <row r="17" customFormat="false" ht="30" hidden="false" customHeight="true" outlineLevel="0" collapsed="false">
      <c r="B17" s="53" t="s">
        <v>450</v>
      </c>
      <c r="C17" s="20" t="s">
        <v>451</v>
      </c>
      <c r="D17" s="20" t="s">
        <v>452</v>
      </c>
      <c r="E17" s="22" t="n">
        <v>3</v>
      </c>
      <c r="F17" s="22" t="n">
        <v>4</v>
      </c>
      <c r="G17" s="55" t="n">
        <f aca="false">IF(OR($E17="",$F17=""),"",$E17*$F17)</f>
        <v>12</v>
      </c>
      <c r="H17" s="56" t="str">
        <f aca="false">IF($G17="","",IF($G17&gt;=15,"High",IF($G17&gt;=8,"Medium","Low")))</f>
        <v>Medium</v>
      </c>
      <c r="I17" s="20" t="s">
        <v>453</v>
      </c>
      <c r="J17" s="20" t="s">
        <v>454</v>
      </c>
      <c r="K17" s="21" t="s">
        <v>417</v>
      </c>
    </row>
    <row r="18" customFormat="false" ht="30" hidden="false" customHeight="true" outlineLevel="0" collapsed="false">
      <c r="B18" s="14" t="s">
        <v>455</v>
      </c>
      <c r="C18" s="51" t="s">
        <v>456</v>
      </c>
      <c r="D18" s="51" t="s">
        <v>457</v>
      </c>
      <c r="E18" s="22" t="n">
        <v>3</v>
      </c>
      <c r="F18" s="22" t="n">
        <v>4</v>
      </c>
      <c r="G18" s="55" t="n">
        <f aca="false">IF(OR($E18="",$F18=""),"",$E18*$F18)</f>
        <v>12</v>
      </c>
      <c r="H18" s="56" t="str">
        <f aca="false">IF($G18="","",IF($G18&gt;=15,"High",IF($G18&gt;=8,"Medium","Low")))</f>
        <v>Medium</v>
      </c>
      <c r="I18" s="51" t="s">
        <v>458</v>
      </c>
      <c r="J18" s="51" t="s">
        <v>129</v>
      </c>
      <c r="K18" s="21" t="s">
        <v>417</v>
      </c>
    </row>
    <row r="19" customFormat="false" ht="30" hidden="false" customHeight="true" outlineLevel="0" collapsed="false">
      <c r="B19" s="53" t="s">
        <v>459</v>
      </c>
      <c r="C19" s="20" t="s">
        <v>460</v>
      </c>
      <c r="D19" s="20" t="s">
        <v>461</v>
      </c>
      <c r="E19" s="22" t="n">
        <v>4</v>
      </c>
      <c r="F19" s="22" t="n">
        <v>4</v>
      </c>
      <c r="G19" s="55" t="n">
        <f aca="false">IF(OR($E19="",$F19=""),"",$E19*$F19)</f>
        <v>16</v>
      </c>
      <c r="H19" s="56" t="str">
        <f aca="false">IF($G19="","",IF($G19&gt;=15,"High",IF($G19&gt;=8,"Medium","Low")))</f>
        <v>High</v>
      </c>
      <c r="I19" s="20" t="s">
        <v>462</v>
      </c>
      <c r="J19" s="20" t="s">
        <v>90</v>
      </c>
      <c r="K19" s="21" t="s">
        <v>417</v>
      </c>
    </row>
    <row r="20" customFormat="false" ht="30" hidden="false" customHeight="true" outlineLevel="0" collapsed="false">
      <c r="B20" s="14" t="s">
        <v>463</v>
      </c>
      <c r="C20" s="51" t="s">
        <v>464</v>
      </c>
      <c r="D20" s="51" t="s">
        <v>465</v>
      </c>
      <c r="E20" s="22" t="n">
        <v>2</v>
      </c>
      <c r="F20" s="22" t="n">
        <v>3</v>
      </c>
      <c r="G20" s="55" t="n">
        <f aca="false">IF(OR($E20="",$F20=""),"",$E20*$F20)</f>
        <v>6</v>
      </c>
      <c r="H20" s="56" t="str">
        <f aca="false">IF($G20="","",IF($G20&gt;=15,"High",IF($G20&gt;=8,"Medium","Low")))</f>
        <v>Low</v>
      </c>
      <c r="I20" s="51" t="s">
        <v>466</v>
      </c>
      <c r="J20" s="51" t="s">
        <v>7</v>
      </c>
      <c r="K20" s="21" t="s">
        <v>417</v>
      </c>
    </row>
    <row r="21" customFormat="false" ht="30" hidden="false" customHeight="true" outlineLevel="0" collapsed="false">
      <c r="B21" s="53" t="s">
        <v>467</v>
      </c>
      <c r="C21" s="20" t="s">
        <v>468</v>
      </c>
      <c r="D21" s="20" t="s">
        <v>469</v>
      </c>
      <c r="E21" s="22" t="n">
        <v>3</v>
      </c>
      <c r="F21" s="22" t="n">
        <v>4</v>
      </c>
      <c r="G21" s="55" t="n">
        <f aca="false">IF(OR($E21="",$F21=""),"",$E21*$F21)</f>
        <v>12</v>
      </c>
      <c r="H21" s="56" t="str">
        <f aca="false">IF($G21="","",IF($G21&gt;=15,"High",IF($G21&gt;=8,"Medium","Low")))</f>
        <v>Medium</v>
      </c>
      <c r="I21" s="20" t="s">
        <v>470</v>
      </c>
      <c r="J21" s="20" t="s">
        <v>7</v>
      </c>
      <c r="K21" s="21" t="s">
        <v>417</v>
      </c>
    </row>
    <row r="22" customFormat="false" ht="30" hidden="false" customHeight="true" outlineLevel="0" collapsed="false">
      <c r="B22" s="14" t="s">
        <v>471</v>
      </c>
      <c r="C22" s="51" t="s">
        <v>472</v>
      </c>
      <c r="D22" s="51" t="s">
        <v>473</v>
      </c>
      <c r="E22" s="22" t="n">
        <v>3</v>
      </c>
      <c r="F22" s="22" t="n">
        <v>4</v>
      </c>
      <c r="G22" s="55" t="n">
        <f aca="false">IF(OR($E22="",$F22=""),"",$E22*$F22)</f>
        <v>12</v>
      </c>
      <c r="H22" s="56" t="str">
        <f aca="false">IF($G22="","",IF($G22&gt;=15,"High",IF($G22&gt;=8,"Medium","Low")))</f>
        <v>Medium</v>
      </c>
      <c r="I22" s="51" t="s">
        <v>474</v>
      </c>
      <c r="J22" s="51" t="s">
        <v>142</v>
      </c>
      <c r="K22" s="21" t="s">
        <v>417</v>
      </c>
    </row>
    <row r="24" customFormat="false" ht="15" hidden="false" customHeight="false" outlineLevel="0" collapsed="false">
      <c r="B24" s="3" t="s">
        <v>475</v>
      </c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false" outlineLevel="0" collapsed="false">
      <c r="B25" s="57" t="s">
        <v>476</v>
      </c>
      <c r="C25" s="57"/>
      <c r="D25" s="58" t="s">
        <v>477</v>
      </c>
      <c r="E25" s="59" t="s">
        <v>478</v>
      </c>
      <c r="F25" s="59"/>
      <c r="G25" s="59"/>
      <c r="H25" s="59"/>
      <c r="I25" s="59"/>
      <c r="J25" s="59"/>
      <c r="K25" s="59"/>
    </row>
    <row r="26" customFormat="false" ht="15" hidden="false" customHeight="false" outlineLevel="0" collapsed="false">
      <c r="B26" s="60" t="s">
        <v>479</v>
      </c>
      <c r="C26" s="60"/>
      <c r="D26" s="61" t="s">
        <v>480</v>
      </c>
      <c r="E26" s="59" t="s">
        <v>481</v>
      </c>
      <c r="F26" s="59"/>
      <c r="G26" s="59"/>
      <c r="H26" s="59"/>
      <c r="I26" s="59"/>
      <c r="J26" s="59"/>
      <c r="K26" s="59"/>
    </row>
    <row r="27" customFormat="false" ht="15" hidden="false" customHeight="false" outlineLevel="0" collapsed="false">
      <c r="B27" s="62" t="s">
        <v>482</v>
      </c>
      <c r="C27" s="62"/>
      <c r="D27" s="63" t="s">
        <v>483</v>
      </c>
      <c r="E27" s="59" t="s">
        <v>484</v>
      </c>
      <c r="F27" s="59"/>
      <c r="G27" s="59"/>
      <c r="H27" s="59"/>
      <c r="I27" s="59"/>
      <c r="J27" s="59"/>
      <c r="K27" s="59"/>
    </row>
  </sheetData>
  <mergeCells count="9">
    <mergeCell ref="B2:K2"/>
    <mergeCell ref="B3:K3"/>
    <mergeCell ref="B24:K24"/>
    <mergeCell ref="B25:C25"/>
    <mergeCell ref="E25:K25"/>
    <mergeCell ref="B26:C26"/>
    <mergeCell ref="E26:K26"/>
    <mergeCell ref="B27:C27"/>
    <mergeCell ref="E27:K27"/>
  </mergeCells>
  <conditionalFormatting sqref="G8:H22">
    <cfRule type="expression" priority="2" aboveAverage="0" equalAverage="0" bottom="0" percent="0" rank="0" text="" dxfId="2">
      <formula>AND($G8&lt;&gt;"",$G8&gt;=15)</formula>
    </cfRule>
    <cfRule type="expression" priority="3" aboveAverage="0" equalAverage="0" bottom="0" percent="0" rank="0" text="" dxfId="1">
      <formula>AND($G8&lt;&gt;"",$G8&gt;=8)</formula>
    </cfRule>
    <cfRule type="expression" priority="4" aboveAverage="0" equalAverage="0" bottom="0" percent="0" rank="0" text="" dxfId="0">
      <formula>$G8&lt;&gt;""</formula>
    </cfRule>
  </conditionalFormatting>
  <conditionalFormatting sqref="K8:K22">
    <cfRule type="expression" priority="5" aboveAverage="0" equalAverage="0" bottom="0" percent="0" rank="0" text="" dxfId="0">
      <formula>$K8="Closed"</formula>
    </cfRule>
  </conditionalFormatting>
  <dataValidations count="2">
    <dataValidation allowBlank="true" error="Please choose one of the listed values." errorStyle="stop" errorTitle="Value not in list" operator="between" showDropDown="false" showErrorMessage="false" showInputMessage="false" sqref="E8:F22" type="list">
      <formula1>"1,2,3,4,5"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K8:K22" type="list">
      <formula1>"Open,Mitigating,Monitoring,Closed,Accepted"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3"/>
  </cols>
  <sheetData>
    <row r="2" customFormat="false" ht="24" hidden="false" customHeight="true" outlineLevel="0" collapsed="false">
      <c r="B2" s="1" t="s">
        <v>485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486</v>
      </c>
      <c r="C3" s="2"/>
      <c r="D3" s="2"/>
      <c r="E3" s="2"/>
      <c r="F3" s="2"/>
      <c r="G3" s="2"/>
      <c r="H3" s="2"/>
    </row>
    <row r="6" customFormat="false" ht="27.75" hidden="false" customHeight="true" outlineLevel="0" collapsed="false">
      <c r="B6" s="15" t="s">
        <v>347</v>
      </c>
      <c r="C6" s="15" t="s">
        <v>487</v>
      </c>
      <c r="D6" s="15" t="s">
        <v>439</v>
      </c>
      <c r="E6" s="15" t="s">
        <v>488</v>
      </c>
      <c r="F6" s="15" t="s">
        <v>489</v>
      </c>
      <c r="G6" s="15" t="s">
        <v>350</v>
      </c>
      <c r="H6" s="15" t="s">
        <v>67</v>
      </c>
    </row>
    <row r="7" customFormat="false" ht="25.5" hidden="false" customHeight="true" outlineLevel="0" collapsed="false">
      <c r="B7" s="64" t="s">
        <v>490</v>
      </c>
      <c r="C7" s="65" t="s">
        <v>464</v>
      </c>
      <c r="D7" s="51" t="s">
        <v>491</v>
      </c>
      <c r="E7" s="51" t="s">
        <v>492</v>
      </c>
      <c r="F7" s="51" t="s">
        <v>493</v>
      </c>
      <c r="G7" s="51" t="s">
        <v>102</v>
      </c>
      <c r="H7" s="21" t="s">
        <v>417</v>
      </c>
    </row>
    <row r="8" customFormat="false" ht="25.5" hidden="false" customHeight="true" outlineLevel="0" collapsed="false">
      <c r="B8" s="66" t="s">
        <v>494</v>
      </c>
      <c r="C8" s="67" t="s">
        <v>464</v>
      </c>
      <c r="D8" s="20" t="s">
        <v>495</v>
      </c>
      <c r="E8" s="20" t="s">
        <v>496</v>
      </c>
      <c r="F8" s="20" t="s">
        <v>497</v>
      </c>
      <c r="G8" s="20" t="s">
        <v>102</v>
      </c>
      <c r="H8" s="21" t="s">
        <v>417</v>
      </c>
    </row>
    <row r="9" customFormat="false" ht="25.5" hidden="false" customHeight="true" outlineLevel="0" collapsed="false">
      <c r="B9" s="64" t="s">
        <v>498</v>
      </c>
      <c r="C9" s="65" t="s">
        <v>499</v>
      </c>
      <c r="D9" s="51" t="s">
        <v>500</v>
      </c>
      <c r="E9" s="51" t="s">
        <v>501</v>
      </c>
      <c r="F9" s="51" t="s">
        <v>502</v>
      </c>
      <c r="G9" s="51" t="s">
        <v>90</v>
      </c>
      <c r="H9" s="21" t="s">
        <v>417</v>
      </c>
    </row>
    <row r="10" customFormat="false" ht="25.5" hidden="false" customHeight="true" outlineLevel="0" collapsed="false">
      <c r="B10" s="66" t="s">
        <v>503</v>
      </c>
      <c r="C10" s="67" t="s">
        <v>464</v>
      </c>
      <c r="D10" s="20" t="s">
        <v>504</v>
      </c>
      <c r="E10" s="20" t="s">
        <v>505</v>
      </c>
      <c r="F10" s="20" t="s">
        <v>506</v>
      </c>
      <c r="G10" s="20" t="s">
        <v>129</v>
      </c>
      <c r="H10" s="21" t="s">
        <v>417</v>
      </c>
    </row>
    <row r="11" customFormat="false" ht="25.5" hidden="false" customHeight="true" outlineLevel="0" collapsed="false">
      <c r="B11" s="64" t="s">
        <v>507</v>
      </c>
      <c r="C11" s="65" t="s">
        <v>499</v>
      </c>
      <c r="D11" s="51" t="s">
        <v>508</v>
      </c>
      <c r="E11" s="51" t="s">
        <v>509</v>
      </c>
      <c r="F11" s="51" t="s">
        <v>510</v>
      </c>
      <c r="G11" s="51" t="s">
        <v>511</v>
      </c>
      <c r="H11" s="21" t="s">
        <v>417</v>
      </c>
    </row>
    <row r="12" customFormat="false" ht="25.5" hidden="false" customHeight="true" outlineLevel="0" collapsed="false">
      <c r="B12" s="66" t="s">
        <v>512</v>
      </c>
      <c r="C12" s="67" t="s">
        <v>499</v>
      </c>
      <c r="D12" s="20" t="s">
        <v>513</v>
      </c>
      <c r="E12" s="20" t="s">
        <v>514</v>
      </c>
      <c r="F12" s="20" t="s">
        <v>497</v>
      </c>
      <c r="G12" s="20" t="s">
        <v>142</v>
      </c>
      <c r="H12" s="21" t="s">
        <v>417</v>
      </c>
    </row>
    <row r="13" customFormat="false" ht="25.5" hidden="false" customHeight="true" outlineLevel="0" collapsed="false">
      <c r="B13" s="64" t="s">
        <v>515</v>
      </c>
      <c r="C13" s="65" t="s">
        <v>499</v>
      </c>
      <c r="D13" s="51" t="s">
        <v>516</v>
      </c>
      <c r="E13" s="51" t="s">
        <v>517</v>
      </c>
      <c r="F13" s="51" t="s">
        <v>518</v>
      </c>
      <c r="G13" s="51" t="s">
        <v>129</v>
      </c>
      <c r="H13" s="21" t="s">
        <v>417</v>
      </c>
    </row>
    <row r="14" customFormat="false" ht="25.5" hidden="false" customHeight="true" outlineLevel="0" collapsed="false">
      <c r="B14" s="66" t="s">
        <v>519</v>
      </c>
      <c r="C14" s="67" t="s">
        <v>499</v>
      </c>
      <c r="D14" s="20" t="s">
        <v>520</v>
      </c>
      <c r="E14" s="20" t="s">
        <v>521</v>
      </c>
      <c r="F14" s="20" t="s">
        <v>522</v>
      </c>
      <c r="G14" s="20" t="s">
        <v>171</v>
      </c>
      <c r="H14" s="21" t="s">
        <v>417</v>
      </c>
    </row>
    <row r="15" customFormat="false" ht="25.5" hidden="false" customHeight="true" outlineLevel="0" collapsed="false">
      <c r="B15" s="64" t="s">
        <v>523</v>
      </c>
      <c r="C15" s="65" t="s">
        <v>464</v>
      </c>
      <c r="D15" s="51" t="s">
        <v>524</v>
      </c>
      <c r="E15" s="51" t="s">
        <v>525</v>
      </c>
      <c r="F15" s="51" t="s">
        <v>526</v>
      </c>
      <c r="G15" s="51" t="s">
        <v>7</v>
      </c>
      <c r="H15" s="21" t="s">
        <v>417</v>
      </c>
    </row>
    <row r="16" customFormat="false" ht="25.5" hidden="false" customHeight="true" outlineLevel="0" collapsed="false">
      <c r="B16" s="66" t="s">
        <v>527</v>
      </c>
      <c r="C16" s="67" t="s">
        <v>499</v>
      </c>
      <c r="D16" s="20" t="s">
        <v>528</v>
      </c>
      <c r="E16" s="20" t="s">
        <v>529</v>
      </c>
      <c r="F16" s="20" t="s">
        <v>530</v>
      </c>
      <c r="G16" s="20" t="s">
        <v>454</v>
      </c>
      <c r="H16" s="21" t="s">
        <v>417</v>
      </c>
    </row>
    <row r="18" customFormat="false" ht="15" hidden="false" customHeight="false" outlineLevel="0" collapsed="false">
      <c r="B18" s="3" t="s">
        <v>531</v>
      </c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B19" s="15" t="s">
        <v>347</v>
      </c>
      <c r="C19" s="68" t="s">
        <v>532</v>
      </c>
      <c r="D19" s="68"/>
      <c r="E19" s="68"/>
      <c r="F19" s="15" t="s">
        <v>533</v>
      </c>
      <c r="G19" s="15" t="s">
        <v>350</v>
      </c>
      <c r="H19" s="15" t="s">
        <v>67</v>
      </c>
    </row>
    <row r="20" customFormat="false" ht="35.05" hidden="false" customHeight="true" outlineLevel="0" collapsed="false">
      <c r="B20" s="14" t="s">
        <v>534</v>
      </c>
      <c r="C20" s="51" t="s">
        <v>535</v>
      </c>
      <c r="D20" s="51"/>
      <c r="E20" s="51"/>
      <c r="F20" s="51" t="s">
        <v>536</v>
      </c>
      <c r="G20" s="51" t="s">
        <v>102</v>
      </c>
      <c r="H20" s="69" t="s">
        <v>537</v>
      </c>
    </row>
    <row r="21" customFormat="false" ht="23.85" hidden="false" customHeight="true" outlineLevel="0" collapsed="false">
      <c r="B21" s="53" t="s">
        <v>538</v>
      </c>
      <c r="C21" s="20" t="s">
        <v>539</v>
      </c>
      <c r="D21" s="20"/>
      <c r="E21" s="20"/>
      <c r="F21" s="20" t="s">
        <v>540</v>
      </c>
      <c r="G21" s="20" t="s">
        <v>90</v>
      </c>
      <c r="H21" s="69" t="s">
        <v>537</v>
      </c>
    </row>
    <row r="22" customFormat="false" ht="35.05" hidden="false" customHeight="true" outlineLevel="0" collapsed="false">
      <c r="B22" s="14" t="s">
        <v>541</v>
      </c>
      <c r="C22" s="51" t="s">
        <v>542</v>
      </c>
      <c r="D22" s="51"/>
      <c r="E22" s="51"/>
      <c r="F22" s="51" t="s">
        <v>543</v>
      </c>
      <c r="G22" s="51" t="s">
        <v>90</v>
      </c>
      <c r="H22" s="69" t="s">
        <v>537</v>
      </c>
    </row>
    <row r="23" customFormat="false" ht="23.85" hidden="false" customHeight="true" outlineLevel="0" collapsed="false">
      <c r="B23" s="53" t="s">
        <v>544</v>
      </c>
      <c r="C23" s="20" t="s">
        <v>545</v>
      </c>
      <c r="D23" s="20"/>
      <c r="E23" s="20"/>
      <c r="F23" s="20" t="s">
        <v>546</v>
      </c>
      <c r="G23" s="20" t="s">
        <v>129</v>
      </c>
      <c r="H23" s="69" t="s">
        <v>537</v>
      </c>
    </row>
    <row r="24" customFormat="false" ht="23.85" hidden="false" customHeight="true" outlineLevel="0" collapsed="false">
      <c r="B24" s="14" t="s">
        <v>547</v>
      </c>
      <c r="C24" s="51" t="s">
        <v>548</v>
      </c>
      <c r="D24" s="51"/>
      <c r="E24" s="51"/>
      <c r="F24" s="51" t="s">
        <v>549</v>
      </c>
      <c r="G24" s="51" t="s">
        <v>7</v>
      </c>
      <c r="H24" s="69" t="s">
        <v>537</v>
      </c>
    </row>
    <row r="25" customFormat="false" ht="23.85" hidden="false" customHeight="true" outlineLevel="0" collapsed="false">
      <c r="B25" s="53" t="s">
        <v>550</v>
      </c>
      <c r="C25" s="20" t="s">
        <v>551</v>
      </c>
      <c r="D25" s="20"/>
      <c r="E25" s="20"/>
      <c r="F25" s="20" t="s">
        <v>552</v>
      </c>
      <c r="G25" s="20" t="s">
        <v>90</v>
      </c>
      <c r="H25" s="69" t="s">
        <v>537</v>
      </c>
    </row>
    <row r="26" customFormat="false" ht="23.85" hidden="false" customHeight="true" outlineLevel="0" collapsed="false">
      <c r="B26" s="14" t="s">
        <v>553</v>
      </c>
      <c r="C26" s="51" t="s">
        <v>554</v>
      </c>
      <c r="D26" s="51"/>
      <c r="E26" s="51"/>
      <c r="F26" s="51" t="s">
        <v>555</v>
      </c>
      <c r="G26" s="51" t="s">
        <v>5</v>
      </c>
      <c r="H26" s="69" t="s">
        <v>537</v>
      </c>
    </row>
    <row r="28" customFormat="false" ht="15" hidden="false" customHeight="false" outlineLevel="0" collapsed="false">
      <c r="B28" s="3" t="s">
        <v>556</v>
      </c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B29" s="15" t="s">
        <v>347</v>
      </c>
      <c r="C29" s="68" t="s">
        <v>557</v>
      </c>
      <c r="D29" s="68"/>
      <c r="E29" s="68"/>
      <c r="F29" s="15" t="s">
        <v>558</v>
      </c>
      <c r="G29" s="15" t="s">
        <v>350</v>
      </c>
      <c r="H29" s="15" t="s">
        <v>67</v>
      </c>
    </row>
    <row r="30" customFormat="false" ht="46.25" hidden="false" customHeight="true" outlineLevel="0" collapsed="false">
      <c r="B30" s="14" t="s">
        <v>559</v>
      </c>
      <c r="C30" s="51" t="s">
        <v>560</v>
      </c>
      <c r="D30" s="51"/>
      <c r="E30" s="51"/>
      <c r="F30" s="51" t="s">
        <v>561</v>
      </c>
      <c r="G30" s="51" t="s">
        <v>90</v>
      </c>
      <c r="H30" s="69" t="s">
        <v>417</v>
      </c>
    </row>
    <row r="31" customFormat="false" ht="35.05" hidden="false" customHeight="true" outlineLevel="0" collapsed="false">
      <c r="B31" s="53" t="s">
        <v>562</v>
      </c>
      <c r="C31" s="20" t="s">
        <v>563</v>
      </c>
      <c r="D31" s="20"/>
      <c r="E31" s="20"/>
      <c r="F31" s="20" t="s">
        <v>564</v>
      </c>
      <c r="G31" s="20" t="s">
        <v>102</v>
      </c>
      <c r="H31" s="69" t="s">
        <v>417</v>
      </c>
    </row>
    <row r="32" customFormat="false" ht="35.05" hidden="false" customHeight="true" outlineLevel="0" collapsed="false">
      <c r="B32" s="14" t="s">
        <v>565</v>
      </c>
      <c r="C32" s="51" t="s">
        <v>566</v>
      </c>
      <c r="D32" s="51"/>
      <c r="E32" s="51"/>
      <c r="F32" s="51" t="s">
        <v>567</v>
      </c>
      <c r="G32" s="51" t="s">
        <v>112</v>
      </c>
      <c r="H32" s="69" t="s">
        <v>417</v>
      </c>
    </row>
    <row r="33" customFormat="false" ht="46.25" hidden="false" customHeight="true" outlineLevel="0" collapsed="false">
      <c r="B33" s="53" t="s">
        <v>568</v>
      </c>
      <c r="C33" s="20" t="s">
        <v>569</v>
      </c>
      <c r="D33" s="20"/>
      <c r="E33" s="20"/>
      <c r="F33" s="20" t="s">
        <v>570</v>
      </c>
      <c r="G33" s="20" t="s">
        <v>171</v>
      </c>
      <c r="H33" s="69" t="s">
        <v>417</v>
      </c>
    </row>
    <row r="34" customFormat="false" ht="35.05" hidden="false" customHeight="true" outlineLevel="0" collapsed="false">
      <c r="B34" s="14" t="s">
        <v>571</v>
      </c>
      <c r="C34" s="51" t="s">
        <v>572</v>
      </c>
      <c r="D34" s="51"/>
      <c r="E34" s="51"/>
      <c r="F34" s="51" t="s">
        <v>573</v>
      </c>
      <c r="G34" s="51" t="s">
        <v>86</v>
      </c>
      <c r="H34" s="69" t="s">
        <v>417</v>
      </c>
    </row>
    <row r="35" customFormat="false" ht="35.05" hidden="false" customHeight="true" outlineLevel="0" collapsed="false">
      <c r="B35" s="53" t="s">
        <v>574</v>
      </c>
      <c r="C35" s="20" t="s">
        <v>575</v>
      </c>
      <c r="D35" s="20"/>
      <c r="E35" s="20"/>
      <c r="F35" s="20" t="s">
        <v>576</v>
      </c>
      <c r="G35" s="20" t="s">
        <v>7</v>
      </c>
      <c r="H35" s="69" t="s">
        <v>417</v>
      </c>
    </row>
  </sheetData>
  <mergeCells count="19">
    <mergeCell ref="B2:H2"/>
    <mergeCell ref="B3:H3"/>
    <mergeCell ref="B18:H18"/>
    <mergeCell ref="C19:E19"/>
    <mergeCell ref="C20:E20"/>
    <mergeCell ref="C21:E21"/>
    <mergeCell ref="C22:E22"/>
    <mergeCell ref="C23:E23"/>
    <mergeCell ref="C24:E24"/>
    <mergeCell ref="C25:E25"/>
    <mergeCell ref="C26:E26"/>
    <mergeCell ref="B28:H28"/>
    <mergeCell ref="C29:E29"/>
    <mergeCell ref="C30:E30"/>
    <mergeCell ref="C31:E31"/>
    <mergeCell ref="C32:E32"/>
    <mergeCell ref="C33:E33"/>
    <mergeCell ref="C34:E34"/>
    <mergeCell ref="C35:E35"/>
  </mergeCells>
  <conditionalFormatting sqref="H7:H16">
    <cfRule type="expression" priority="2" aboveAverage="0" equalAverage="0" bottom="0" percent="0" rank="0" text="" dxfId="0">
      <formula>OR($H7="Confirmed",$H7="Closed")</formula>
    </cfRule>
    <cfRule type="expression" priority="3" aboveAverage="0" equalAverage="0" bottom="0" percent="0" rank="0" text="" dxfId="2">
      <formula>$H7="At risk"</formula>
    </cfRule>
    <cfRule type="expression" priority="4" aboveAverage="0" equalAverage="0" bottom="0" percent="0" rank="0" text="" dxfId="7">
      <formula>$H7="In progress"</formula>
    </cfRule>
  </conditionalFormatting>
  <dataValidations count="3">
    <dataValidation allowBlank="true" error="Please choose one of the listed values." errorStyle="stop" errorTitle="Value not in list" operator="between" showDropDown="false" showErrorMessage="false" showInputMessage="false" sqref="H7:H16" type="list">
      <formula1>"Open,In progress,Confirmed,Closed,At risk"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H20:H26" type="list">
      <formula1>"To confirm,Confirmed,Invalid"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H30:H35" type="list">
      <formula1>"Open,Answered,Closed"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56"/>
  </cols>
  <sheetData>
    <row r="2" customFormat="false" ht="24" hidden="false" customHeight="true" outlineLevel="0" collapsed="false">
      <c r="B2" s="1" t="s">
        <v>577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578</v>
      </c>
      <c r="C3" s="2"/>
      <c r="D3" s="2"/>
      <c r="E3" s="2"/>
      <c r="F3" s="2"/>
      <c r="G3" s="2"/>
      <c r="H3" s="2"/>
      <c r="I3" s="2"/>
    </row>
    <row r="6" customFormat="false" ht="30" hidden="false" customHeight="true" outlineLevel="0" collapsed="false">
      <c r="B6" s="15" t="s">
        <v>579</v>
      </c>
      <c r="C6" s="15" t="s">
        <v>580</v>
      </c>
      <c r="D6" s="15" t="s">
        <v>581</v>
      </c>
      <c r="E6" s="15" t="s">
        <v>582</v>
      </c>
      <c r="F6" s="15" t="s">
        <v>583</v>
      </c>
      <c r="G6" s="15" t="s">
        <v>584</v>
      </c>
      <c r="H6" s="15" t="s">
        <v>585</v>
      </c>
      <c r="I6" s="15" t="s">
        <v>586</v>
      </c>
    </row>
    <row r="7" customFormat="false" ht="24" hidden="false" customHeight="true" outlineLevel="0" collapsed="false">
      <c r="B7" s="18" t="s">
        <v>587</v>
      </c>
      <c r="C7" s="65" t="s">
        <v>483</v>
      </c>
      <c r="D7" s="65" t="s">
        <v>483</v>
      </c>
      <c r="E7" s="65" t="s">
        <v>588</v>
      </c>
      <c r="F7" s="65" t="s">
        <v>480</v>
      </c>
      <c r="G7" s="65" t="s">
        <v>589</v>
      </c>
      <c r="H7" s="65" t="s">
        <v>590</v>
      </c>
      <c r="I7" s="51" t="s">
        <v>591</v>
      </c>
    </row>
    <row r="8" customFormat="false" ht="24" hidden="false" customHeight="true" outlineLevel="0" collapsed="false">
      <c r="B8" s="70" t="s">
        <v>592</v>
      </c>
      <c r="C8" s="67" t="s">
        <v>483</v>
      </c>
      <c r="D8" s="67" t="s">
        <v>480</v>
      </c>
      <c r="E8" s="67" t="s">
        <v>593</v>
      </c>
      <c r="F8" s="67" t="s">
        <v>483</v>
      </c>
      <c r="G8" s="67" t="s">
        <v>594</v>
      </c>
      <c r="H8" s="67" t="s">
        <v>483</v>
      </c>
      <c r="I8" s="20" t="s">
        <v>595</v>
      </c>
    </row>
    <row r="9" customFormat="false" ht="24" hidden="false" customHeight="true" outlineLevel="0" collapsed="false">
      <c r="B9" s="18" t="s">
        <v>596</v>
      </c>
      <c r="C9" s="65" t="s">
        <v>480</v>
      </c>
      <c r="D9" s="65" t="s">
        <v>480</v>
      </c>
      <c r="E9" s="65" t="s">
        <v>597</v>
      </c>
      <c r="F9" s="65" t="s">
        <v>480</v>
      </c>
      <c r="G9" s="65" t="s">
        <v>594</v>
      </c>
      <c r="H9" s="65" t="s">
        <v>483</v>
      </c>
      <c r="I9" s="51" t="s">
        <v>598</v>
      </c>
    </row>
    <row r="10" customFormat="false" ht="24" hidden="false" customHeight="true" outlineLevel="0" collapsed="false">
      <c r="B10" s="70" t="s">
        <v>599</v>
      </c>
      <c r="C10" s="67" t="s">
        <v>480</v>
      </c>
      <c r="D10" s="67" t="s">
        <v>477</v>
      </c>
      <c r="E10" s="67" t="s">
        <v>600</v>
      </c>
      <c r="F10" s="67" t="s">
        <v>480</v>
      </c>
      <c r="G10" s="67" t="s">
        <v>601</v>
      </c>
      <c r="H10" s="67" t="s">
        <v>480</v>
      </c>
      <c r="I10" s="20" t="s">
        <v>602</v>
      </c>
    </row>
    <row r="11" customFormat="false" ht="24" hidden="false" customHeight="true" outlineLevel="0" collapsed="false">
      <c r="B11" s="18" t="s">
        <v>603</v>
      </c>
      <c r="C11" s="65" t="s">
        <v>477</v>
      </c>
      <c r="D11" s="65" t="s">
        <v>477</v>
      </c>
      <c r="E11" s="65" t="s">
        <v>604</v>
      </c>
      <c r="F11" s="65" t="s">
        <v>480</v>
      </c>
      <c r="G11" s="65" t="s">
        <v>601</v>
      </c>
      <c r="H11" s="65" t="s">
        <v>480</v>
      </c>
      <c r="I11" s="51" t="s">
        <v>605</v>
      </c>
    </row>
    <row r="12" customFormat="false" ht="24" hidden="false" customHeight="true" outlineLevel="0" collapsed="false">
      <c r="B12" s="70" t="s">
        <v>606</v>
      </c>
      <c r="C12" s="67" t="s">
        <v>477</v>
      </c>
      <c r="D12" s="67" t="s">
        <v>477</v>
      </c>
      <c r="E12" s="67" t="s">
        <v>607</v>
      </c>
      <c r="F12" s="67" t="s">
        <v>480</v>
      </c>
      <c r="G12" s="67" t="s">
        <v>601</v>
      </c>
      <c r="H12" s="67" t="s">
        <v>480</v>
      </c>
      <c r="I12" s="20" t="s">
        <v>608</v>
      </c>
    </row>
    <row r="14" customFormat="false" ht="15" hidden="false" customHeight="false" outlineLevel="0" collapsed="false">
      <c r="B14" s="3" t="s">
        <v>609</v>
      </c>
      <c r="C14" s="3"/>
      <c r="D14" s="3"/>
      <c r="E14" s="3"/>
      <c r="F14" s="3"/>
      <c r="G14" s="3"/>
      <c r="H14" s="3"/>
      <c r="I14" s="3"/>
    </row>
    <row r="15" customFormat="false" ht="25.5" hidden="false" customHeight="true" outlineLevel="0" collapsed="false">
      <c r="B15" s="15" t="s">
        <v>584</v>
      </c>
      <c r="C15" s="15" t="s">
        <v>610</v>
      </c>
      <c r="D15" s="15" t="s">
        <v>611</v>
      </c>
      <c r="E15" s="68" t="s">
        <v>431</v>
      </c>
      <c r="F15" s="68"/>
      <c r="G15" s="68"/>
      <c r="H15" s="15" t="s">
        <v>612</v>
      </c>
      <c r="I15" s="15" t="s">
        <v>613</v>
      </c>
    </row>
    <row r="16" customFormat="false" ht="39.75" hidden="false" customHeight="true" outlineLevel="0" collapsed="false">
      <c r="B16" s="71" t="s">
        <v>614</v>
      </c>
      <c r="C16" s="51" t="s">
        <v>615</v>
      </c>
      <c r="D16" s="19" t="s">
        <v>616</v>
      </c>
      <c r="E16" s="51" t="s">
        <v>617</v>
      </c>
      <c r="F16" s="51"/>
      <c r="G16" s="51"/>
      <c r="H16" s="51" t="s">
        <v>618</v>
      </c>
      <c r="I16" s="51" t="s">
        <v>619</v>
      </c>
    </row>
    <row r="17" customFormat="false" ht="39.75" hidden="false" customHeight="true" outlineLevel="0" collapsed="false">
      <c r="B17" s="71" t="s">
        <v>589</v>
      </c>
      <c r="C17" s="20" t="s">
        <v>620</v>
      </c>
      <c r="D17" s="21" t="s">
        <v>621</v>
      </c>
      <c r="E17" s="20" t="s">
        <v>622</v>
      </c>
      <c r="F17" s="20"/>
      <c r="G17" s="20"/>
      <c r="H17" s="20" t="s">
        <v>623</v>
      </c>
      <c r="I17" s="20" t="s">
        <v>624</v>
      </c>
    </row>
    <row r="18" customFormat="false" ht="39.75" hidden="false" customHeight="true" outlineLevel="0" collapsed="false">
      <c r="B18" s="71" t="s">
        <v>594</v>
      </c>
      <c r="C18" s="51" t="s">
        <v>625</v>
      </c>
      <c r="D18" s="19" t="s">
        <v>626</v>
      </c>
      <c r="E18" s="51" t="s">
        <v>627</v>
      </c>
      <c r="F18" s="51"/>
      <c r="G18" s="51"/>
      <c r="H18" s="51" t="s">
        <v>628</v>
      </c>
      <c r="I18" s="51" t="s">
        <v>629</v>
      </c>
    </row>
    <row r="19" customFormat="false" ht="39.75" hidden="false" customHeight="true" outlineLevel="0" collapsed="false">
      <c r="B19" s="71" t="s">
        <v>601</v>
      </c>
      <c r="C19" s="20" t="s">
        <v>630</v>
      </c>
      <c r="D19" s="21" t="s">
        <v>631</v>
      </c>
      <c r="E19" s="20" t="s">
        <v>632</v>
      </c>
      <c r="F19" s="20"/>
      <c r="G19" s="20"/>
      <c r="H19" s="20" t="s">
        <v>633</v>
      </c>
      <c r="I19" s="20" t="s">
        <v>634</v>
      </c>
    </row>
  </sheetData>
  <mergeCells count="8">
    <mergeCell ref="B2:I2"/>
    <mergeCell ref="B3:I3"/>
    <mergeCell ref="B14:I14"/>
    <mergeCell ref="E15:G15"/>
    <mergeCell ref="E16:G16"/>
    <mergeCell ref="E17:G17"/>
    <mergeCell ref="E18:G18"/>
    <mergeCell ref="E19:G19"/>
  </mergeCells>
  <conditionalFormatting sqref="C7:C12">
    <cfRule type="expression" priority="2" aboveAverage="0" equalAverage="0" bottom="0" percent="0" rank="0" text="" dxfId="8">
      <formula>$C7="High"</formula>
    </cfRule>
    <cfRule type="expression" priority="3" aboveAverage="0" equalAverage="0" bottom="0" percent="0" rank="0" text="" dxfId="7">
      <formula>$C7="Medium"</formula>
    </cfRule>
    <cfRule type="expression" priority="4" aboveAverage="0" equalAverage="0" bottom="0" percent="0" rank="0" text="" dxfId="9">
      <formula>$C7="Low"</formula>
    </cfRule>
  </conditionalFormatting>
  <conditionalFormatting sqref="D7:D12">
    <cfRule type="expression" priority="5" aboveAverage="0" equalAverage="0" bottom="0" percent="0" rank="0" text="" dxfId="8">
      <formula>$D7="High"</formula>
    </cfRule>
    <cfRule type="expression" priority="6" aboveAverage="0" equalAverage="0" bottom="0" percent="0" rank="0" text="" dxfId="7">
      <formula>$D7="Medium"</formula>
    </cfRule>
    <cfRule type="expression" priority="7" aboveAverage="0" equalAverage="0" bottom="0" percent="0" rank="0" text="" dxfId="9">
      <formula>$D7="Low"</formula>
    </cfRule>
  </conditionalFormatting>
  <conditionalFormatting sqref="F7:F12">
    <cfRule type="expression" priority="8" aboveAverage="0" equalAverage="0" bottom="0" percent="0" rank="0" text="" dxfId="9">
      <formula>$F7="High"</formula>
    </cfRule>
    <cfRule type="expression" priority="9" aboveAverage="0" equalAverage="0" bottom="0" percent="0" rank="0" text="" dxfId="7">
      <formula>$F7="Medium"</formula>
    </cfRule>
  </conditionalFormatting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2026-09-16T08:30:17Z</dcterms:created>
  <dc:creator>openpyxl</dc:creator>
  <dc:description/>
  <dc:language>en-US</dc:language>
  <cp:lastModifiedBy/>
  <dcterms:modified xsi:type="dcterms:W3CDTF">2026-09-16T08:30:17Z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